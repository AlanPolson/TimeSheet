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mory-my.sharepoint.com/personal/ampolso_emory_edu/Documents/"/>
    </mc:Choice>
  </mc:AlternateContent>
  <xr:revisionPtr revIDLastSave="43" documentId="8_{476B1C25-4772-4593-8245-F5B1CCE979D3}" xr6:coauthVersionLast="45" xr6:coauthVersionMax="45" xr10:uidLastSave="{5CDAF43F-1772-4088-830F-0B5DA06FD181}"/>
  <bookViews>
    <workbookView xWindow="-120" yWindow="-120" windowWidth="29040" windowHeight="15840" tabRatio="728" activeTab="6" xr2:uid="{00000000-000D-0000-FFFF-FFFF00000000}"/>
  </bookViews>
  <sheets>
    <sheet name="Tracks" sheetId="8" r:id="rId1"/>
    <sheet name="05-06 Mon" sheetId="1" r:id="rId2"/>
    <sheet name="05-07 Tues" sheetId="2" r:id="rId3"/>
    <sheet name="05-08 Wed" sheetId="5" r:id="rId4"/>
    <sheet name="05-09 Thurs" sheetId="6" r:id="rId5"/>
    <sheet name="05-10 Fri" sheetId="7" r:id="rId6"/>
    <sheet name="Weekly Summary" sheetId="10" r:id="rId7"/>
    <sheet name="To Do" sheetId="3" r:id="rId8"/>
  </sheets>
  <functionGroups builtInGroupCount="19"/>
  <definedNames>
    <definedName name="_xlnm._FilterDatabase" localSheetId="1" hidden="1">'05-06 Mon'!$A$2:$H$32</definedName>
    <definedName name="_xlnm._FilterDatabase" localSheetId="2" hidden="1">'05-07 Tues'!$C$2:$H$21</definedName>
    <definedName name="_xlnm._FilterDatabase" localSheetId="3" hidden="1">'05-08 Wed'!$C$2:$H$28</definedName>
    <definedName name="_xlnm._FilterDatabase" localSheetId="4" hidden="1">'05-09 Thurs'!$C$2:$H$20</definedName>
    <definedName name="_xlnm._FilterDatabase" localSheetId="5" hidden="1">'05-10 Fri'!$C$2:$H$25</definedName>
    <definedName name="_xlnm._FilterDatabase" localSheetId="6" hidden="1">'Weekly Summary'!$C$51:$G$74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2" i="10" l="1" a="1"/>
  <c r="I22" i="10" s="1"/>
  <c r="J22" i="10" s="1"/>
  <c r="D40" i="7" l="1"/>
  <c r="F40" i="7" s="1"/>
  <c r="A40" i="7"/>
  <c r="D39" i="7"/>
  <c r="A39" i="7"/>
  <c r="D38" i="7"/>
  <c r="A38" i="7"/>
  <c r="D37" i="7"/>
  <c r="A37" i="7"/>
  <c r="D36" i="7"/>
  <c r="F36" i="7" s="1"/>
  <c r="A36" i="7"/>
  <c r="D35" i="7"/>
  <c r="A35" i="7"/>
  <c r="D34" i="7"/>
  <c r="F34" i="7" s="1"/>
  <c r="A34" i="7"/>
  <c r="D33" i="7"/>
  <c r="A33" i="7"/>
  <c r="D32" i="7"/>
  <c r="A32" i="7"/>
  <c r="D31" i="7"/>
  <c r="A31" i="7"/>
  <c r="D30" i="7"/>
  <c r="F30" i="7" s="1"/>
  <c r="A30" i="7"/>
  <c r="D29" i="7"/>
  <c r="F29" i="7" s="1"/>
  <c r="A29" i="7"/>
  <c r="D28" i="7"/>
  <c r="F28" i="7" s="1"/>
  <c r="A28" i="7"/>
  <c r="D27" i="7"/>
  <c r="A27" i="7"/>
  <c r="D26" i="7"/>
  <c r="A26" i="7"/>
  <c r="D25" i="7"/>
  <c r="A25" i="7"/>
  <c r="D24" i="7"/>
  <c r="F24" i="7" s="1"/>
  <c r="A24" i="7"/>
  <c r="D23" i="7"/>
  <c r="F23" i="7" s="1"/>
  <c r="A23" i="7"/>
  <c r="D22" i="7"/>
  <c r="F22" i="7" s="1"/>
  <c r="A22" i="7"/>
  <c r="D21" i="7"/>
  <c r="F21" i="7" s="1"/>
  <c r="A21" i="7"/>
  <c r="D20" i="7"/>
  <c r="A20" i="7"/>
  <c r="D19" i="7"/>
  <c r="A19" i="7"/>
  <c r="D18" i="7"/>
  <c r="F18" i="7" s="1"/>
  <c r="A18" i="7"/>
  <c r="D17" i="7"/>
  <c r="F17" i="7" s="1"/>
  <c r="A17" i="7"/>
  <c r="D16" i="7"/>
  <c r="F16" i="7" s="1"/>
  <c r="A16" i="7"/>
  <c r="D15" i="7"/>
  <c r="F15" i="7" s="1"/>
  <c r="A15" i="7"/>
  <c r="D14" i="7"/>
  <c r="A14" i="7"/>
  <c r="D13" i="7"/>
  <c r="A13" i="7"/>
  <c r="D12" i="7"/>
  <c r="F12" i="7" s="1"/>
  <c r="A12" i="7"/>
  <c r="D11" i="7"/>
  <c r="F11" i="7" s="1"/>
  <c r="A11" i="7"/>
  <c r="D10" i="7"/>
  <c r="F10" i="7" s="1"/>
  <c r="A10" i="7"/>
  <c r="D9" i="7"/>
  <c r="F9" i="7" s="1"/>
  <c r="A9" i="7"/>
  <c r="D8" i="7"/>
  <c r="A8" i="7"/>
  <c r="D7" i="7"/>
  <c r="A7" i="7"/>
  <c r="D6" i="7"/>
  <c r="F6" i="7" s="1"/>
  <c r="A6" i="7"/>
  <c r="D5" i="7"/>
  <c r="F5" i="7" s="1"/>
  <c r="A5" i="7"/>
  <c r="D4" i="7"/>
  <c r="F4" i="7" s="1"/>
  <c r="A4" i="7"/>
  <c r="A3" i="7"/>
  <c r="F3" i="7" s="1"/>
  <c r="D40" i="6"/>
  <c r="A40" i="6"/>
  <c r="F39" i="6"/>
  <c r="D39" i="6"/>
  <c r="A39" i="6"/>
  <c r="D38" i="6"/>
  <c r="F38" i="6" s="1"/>
  <c r="A38" i="6"/>
  <c r="D37" i="6"/>
  <c r="F37" i="6" s="1"/>
  <c r="A37" i="6"/>
  <c r="D36" i="6"/>
  <c r="F36" i="6" s="1"/>
  <c r="A36" i="6"/>
  <c r="F35" i="6"/>
  <c r="D35" i="6"/>
  <c r="A35" i="6"/>
  <c r="D34" i="6"/>
  <c r="F34" i="6" s="1"/>
  <c r="A34" i="6"/>
  <c r="D33" i="6"/>
  <c r="A33" i="6"/>
  <c r="F33" i="6" s="1"/>
  <c r="D32" i="6"/>
  <c r="A32" i="6"/>
  <c r="D31" i="6"/>
  <c r="F31" i="6" s="1"/>
  <c r="A31" i="6"/>
  <c r="D30" i="6"/>
  <c r="F30" i="6" s="1"/>
  <c r="A30" i="6"/>
  <c r="D29" i="6"/>
  <c r="A29" i="6"/>
  <c r="F29" i="6" s="1"/>
  <c r="D28" i="6"/>
  <c r="A28" i="6"/>
  <c r="F27" i="6"/>
  <c r="D27" i="6"/>
  <c r="A27" i="6"/>
  <c r="D26" i="6"/>
  <c r="A26" i="6"/>
  <c r="D25" i="6"/>
  <c r="A25" i="6"/>
  <c r="D24" i="6"/>
  <c r="A24" i="6"/>
  <c r="F23" i="6"/>
  <c r="D23" i="6"/>
  <c r="A23" i="6"/>
  <c r="D22" i="6"/>
  <c r="F22" i="6" s="1"/>
  <c r="A22" i="6"/>
  <c r="D21" i="6"/>
  <c r="F21" i="6" s="1"/>
  <c r="A21" i="6"/>
  <c r="D20" i="6"/>
  <c r="F20" i="6" s="1"/>
  <c r="A20" i="6"/>
  <c r="F19" i="6"/>
  <c r="D19" i="6"/>
  <c r="A19" i="6"/>
  <c r="D18" i="6"/>
  <c r="F18" i="6" s="1"/>
  <c r="A18" i="6"/>
  <c r="D17" i="6"/>
  <c r="A17" i="6"/>
  <c r="D16" i="6"/>
  <c r="A16" i="6"/>
  <c r="D15" i="6"/>
  <c r="F15" i="6" s="1"/>
  <c r="A15" i="6"/>
  <c r="D14" i="6"/>
  <c r="F14" i="6" s="1"/>
  <c r="A14" i="6"/>
  <c r="D13" i="6"/>
  <c r="A13" i="6"/>
  <c r="D12" i="6"/>
  <c r="A12" i="6"/>
  <c r="F11" i="6"/>
  <c r="D11" i="6"/>
  <c r="A11" i="6"/>
  <c r="D10" i="6"/>
  <c r="A10" i="6"/>
  <c r="D9" i="6"/>
  <c r="A9" i="6"/>
  <c r="D8" i="6"/>
  <c r="A8" i="6"/>
  <c r="F7" i="6"/>
  <c r="D7" i="6"/>
  <c r="A7" i="6"/>
  <c r="D6" i="6"/>
  <c r="F6" i="6" s="1"/>
  <c r="A6" i="6"/>
  <c r="D5" i="6"/>
  <c r="F5" i="6" s="1"/>
  <c r="A5" i="6"/>
  <c r="D4" i="6"/>
  <c r="F4" i="6" s="1"/>
  <c r="A4" i="6"/>
  <c r="F3" i="6"/>
  <c r="A3" i="6"/>
  <c r="D40" i="5"/>
  <c r="A40" i="5"/>
  <c r="D39" i="5"/>
  <c r="F39" i="5" s="1"/>
  <c r="A39" i="5"/>
  <c r="D38" i="5"/>
  <c r="A38" i="5"/>
  <c r="D37" i="5"/>
  <c r="A37" i="5"/>
  <c r="F37" i="5" s="1"/>
  <c r="D36" i="5"/>
  <c r="A36" i="5"/>
  <c r="D35" i="5"/>
  <c r="F35" i="5" s="1"/>
  <c r="A35" i="5"/>
  <c r="D34" i="5"/>
  <c r="A34" i="5"/>
  <c r="F33" i="5"/>
  <c r="D33" i="5"/>
  <c r="A33" i="5"/>
  <c r="D32" i="5"/>
  <c r="A32" i="5"/>
  <c r="D31" i="5"/>
  <c r="F31" i="5" s="1"/>
  <c r="A31" i="5"/>
  <c r="D30" i="5"/>
  <c r="A30" i="5"/>
  <c r="D29" i="5"/>
  <c r="F29" i="5" s="1"/>
  <c r="A29" i="5"/>
  <c r="D28" i="5"/>
  <c r="A28" i="5"/>
  <c r="D27" i="5"/>
  <c r="F27" i="5" s="1"/>
  <c r="A27" i="5"/>
  <c r="D26" i="5"/>
  <c r="F26" i="5" s="1"/>
  <c r="A26" i="5"/>
  <c r="D25" i="5"/>
  <c r="F25" i="5" s="1"/>
  <c r="A25" i="5"/>
  <c r="D24" i="5"/>
  <c r="A24" i="5"/>
  <c r="D23" i="5"/>
  <c r="F23" i="5" s="1"/>
  <c r="A23" i="5"/>
  <c r="D22" i="5"/>
  <c r="F22" i="5" s="1"/>
  <c r="A22" i="5"/>
  <c r="F21" i="5"/>
  <c r="D21" i="5"/>
  <c r="A21" i="5"/>
  <c r="D20" i="5"/>
  <c r="F20" i="5" s="1"/>
  <c r="A20" i="5"/>
  <c r="D19" i="5"/>
  <c r="F19" i="5" s="1"/>
  <c r="A19" i="5"/>
  <c r="D18" i="5"/>
  <c r="F18" i="5" s="1"/>
  <c r="A18" i="5"/>
  <c r="F17" i="5"/>
  <c r="D17" i="5"/>
  <c r="A17" i="5"/>
  <c r="D16" i="5"/>
  <c r="A16" i="5"/>
  <c r="F15" i="5"/>
  <c r="D15" i="5"/>
  <c r="A15" i="5"/>
  <c r="D14" i="5"/>
  <c r="F14" i="5" s="1"/>
  <c r="A14" i="5"/>
  <c r="D13" i="5"/>
  <c r="F13" i="5" s="1"/>
  <c r="A13" i="5"/>
  <c r="D12" i="5"/>
  <c r="F12" i="5" s="1"/>
  <c r="A12" i="5"/>
  <c r="D11" i="5"/>
  <c r="F11" i="5" s="1"/>
  <c r="A11" i="5"/>
  <c r="D10" i="5"/>
  <c r="F10" i="5" s="1"/>
  <c r="A10" i="5"/>
  <c r="F9" i="5"/>
  <c r="D9" i="5"/>
  <c r="A9" i="5"/>
  <c r="D8" i="5"/>
  <c r="A8" i="5"/>
  <c r="F7" i="5"/>
  <c r="D7" i="5"/>
  <c r="A7" i="5"/>
  <c r="D6" i="5"/>
  <c r="A6" i="5"/>
  <c r="D5" i="5"/>
  <c r="A5" i="5"/>
  <c r="F5" i="5" s="1"/>
  <c r="D4" i="5"/>
  <c r="A4" i="5"/>
  <c r="A3" i="5"/>
  <c r="F3" i="5" s="1"/>
  <c r="D40" i="2"/>
  <c r="F40" i="2" s="1"/>
  <c r="A40" i="2"/>
  <c r="D39" i="2"/>
  <c r="A39" i="2"/>
  <c r="D38" i="2"/>
  <c r="A38" i="2"/>
  <c r="D37" i="2"/>
  <c r="A37" i="2"/>
  <c r="D36" i="2"/>
  <c r="A36" i="2"/>
  <c r="D35" i="2"/>
  <c r="A35" i="2"/>
  <c r="D34" i="2"/>
  <c r="A34" i="2"/>
  <c r="D33" i="2"/>
  <c r="A33" i="2"/>
  <c r="D32" i="2"/>
  <c r="F32" i="2" s="1"/>
  <c r="A32" i="2"/>
  <c r="D31" i="2"/>
  <c r="A31" i="2"/>
  <c r="D30" i="2"/>
  <c r="A30" i="2"/>
  <c r="F30" i="2" s="1"/>
  <c r="D29" i="2"/>
  <c r="A29" i="2"/>
  <c r="D28" i="2"/>
  <c r="F28" i="2" s="1"/>
  <c r="A28" i="2"/>
  <c r="D27" i="2"/>
  <c r="A27" i="2"/>
  <c r="D26" i="2"/>
  <c r="A26" i="2"/>
  <c r="D25" i="2"/>
  <c r="A25" i="2"/>
  <c r="D24" i="2"/>
  <c r="A24" i="2"/>
  <c r="D23" i="2"/>
  <c r="A23" i="2"/>
  <c r="D22" i="2"/>
  <c r="A22" i="2"/>
  <c r="F22" i="2" s="1"/>
  <c r="D21" i="2"/>
  <c r="A21" i="2"/>
  <c r="D20" i="2"/>
  <c r="A20" i="2"/>
  <c r="D19" i="2"/>
  <c r="A19" i="2"/>
  <c r="D18" i="2"/>
  <c r="A18" i="2"/>
  <c r="F18" i="2" s="1"/>
  <c r="D17" i="2"/>
  <c r="A17" i="2"/>
  <c r="D16" i="2"/>
  <c r="A16" i="2"/>
  <c r="D15" i="2"/>
  <c r="A15" i="2"/>
  <c r="D14" i="2"/>
  <c r="A14" i="2"/>
  <c r="D13" i="2"/>
  <c r="F13" i="2" s="1"/>
  <c r="A13" i="2"/>
  <c r="D12" i="2"/>
  <c r="A12" i="2"/>
  <c r="D11" i="2"/>
  <c r="A11" i="2"/>
  <c r="D10" i="2"/>
  <c r="A10" i="2"/>
  <c r="F10" i="2" s="1"/>
  <c r="D9" i="2"/>
  <c r="A9" i="2"/>
  <c r="D8" i="2"/>
  <c r="A8" i="2"/>
  <c r="D7" i="2"/>
  <c r="A7" i="2"/>
  <c r="D6" i="2"/>
  <c r="A6" i="2"/>
  <c r="F6" i="2" s="1"/>
  <c r="D5" i="2"/>
  <c r="A5" i="2"/>
  <c r="D4" i="2"/>
  <c r="A4" i="2"/>
  <c r="A3" i="2"/>
  <c r="F3" i="2" s="1"/>
  <c r="F11" i="2" l="1"/>
  <c r="F23" i="2"/>
  <c r="F29" i="2"/>
  <c r="F35" i="2"/>
  <c r="F8" i="5"/>
  <c r="F32" i="5"/>
  <c r="F10" i="6"/>
  <c r="F26" i="6"/>
  <c r="F5" i="2"/>
  <c r="F17" i="2"/>
  <c r="F35" i="7"/>
  <c r="F12" i="2"/>
  <c r="F24" i="2"/>
  <c r="F36" i="2"/>
  <c r="F4" i="5"/>
  <c r="F28" i="5"/>
  <c r="F38" i="5"/>
  <c r="F16" i="6"/>
  <c r="F32" i="6"/>
  <c r="F19" i="2"/>
  <c r="F25" i="2"/>
  <c r="F31" i="2"/>
  <c r="F37" i="2"/>
  <c r="F24" i="5"/>
  <c r="F17" i="6"/>
  <c r="F7" i="2"/>
  <c r="F14" i="2"/>
  <c r="F26" i="2"/>
  <c r="F38" i="2"/>
  <c r="F34" i="5"/>
  <c r="F12" i="6"/>
  <c r="F28" i="6"/>
  <c r="F7" i="7"/>
  <c r="F13" i="7"/>
  <c r="F19" i="7"/>
  <c r="F25" i="7"/>
  <c r="F31" i="7"/>
  <c r="F37" i="7"/>
  <c r="F8" i="2"/>
  <c r="F20" i="2"/>
  <c r="F6" i="5"/>
  <c r="F30" i="5"/>
  <c r="F40" i="5"/>
  <c r="F13" i="6"/>
  <c r="F8" i="7"/>
  <c r="F14" i="7"/>
  <c r="F20" i="7"/>
  <c r="F26" i="7"/>
  <c r="F32" i="7"/>
  <c r="F38" i="7"/>
  <c r="F9" i="2"/>
  <c r="F15" i="2"/>
  <c r="F21" i="2"/>
  <c r="F27" i="2"/>
  <c r="F33" i="2"/>
  <c r="F39" i="2"/>
  <c r="F16" i="5"/>
  <c r="F8" i="6"/>
  <c r="F24" i="6"/>
  <c r="F40" i="6"/>
  <c r="F34" i="2"/>
  <c r="F27" i="7"/>
  <c r="F33" i="7"/>
  <c r="F39" i="7"/>
  <c r="F4" i="2"/>
  <c r="F16" i="2"/>
  <c r="F36" i="5"/>
  <c r="F9" i="6"/>
  <c r="F25" i="6"/>
  <c r="A213" i="10" l="1"/>
  <c r="B213" i="10"/>
  <c r="C213" i="10"/>
  <c r="E213" i="10"/>
  <c r="G213" i="10"/>
  <c r="B214" i="10"/>
  <c r="C214" i="10"/>
  <c r="E214" i="10"/>
  <c r="G214" i="10"/>
  <c r="B215" i="10"/>
  <c r="C215" i="10"/>
  <c r="E215" i="10"/>
  <c r="G215" i="10"/>
  <c r="B216" i="10"/>
  <c r="C216" i="10"/>
  <c r="E216" i="10"/>
  <c r="G216" i="10"/>
  <c r="A217" i="10"/>
  <c r="B217" i="10"/>
  <c r="C217" i="10"/>
  <c r="E217" i="10"/>
  <c r="G217" i="10"/>
  <c r="B218" i="10"/>
  <c r="C218" i="10"/>
  <c r="E218" i="10"/>
  <c r="G218" i="10"/>
  <c r="B219" i="10"/>
  <c r="C219" i="10"/>
  <c r="D219" i="10"/>
  <c r="E219" i="10"/>
  <c r="G219" i="10"/>
  <c r="B220" i="10"/>
  <c r="C220" i="10"/>
  <c r="E220" i="10"/>
  <c r="G220" i="10"/>
  <c r="B221" i="10"/>
  <c r="C221" i="10"/>
  <c r="E221" i="10"/>
  <c r="G221" i="10"/>
  <c r="B222" i="10"/>
  <c r="C222" i="10"/>
  <c r="E222" i="10"/>
  <c r="G222" i="10"/>
  <c r="A223" i="10"/>
  <c r="B223" i="10"/>
  <c r="C223" i="10"/>
  <c r="E223" i="10"/>
  <c r="G223" i="10"/>
  <c r="A224" i="10"/>
  <c r="B224" i="10"/>
  <c r="C224" i="10"/>
  <c r="D224" i="10"/>
  <c r="E224" i="10"/>
  <c r="F224" i="10"/>
  <c r="G224" i="10"/>
  <c r="A225" i="10"/>
  <c r="B225" i="10"/>
  <c r="C225" i="10"/>
  <c r="D225" i="10"/>
  <c r="E225" i="10"/>
  <c r="F225" i="10"/>
  <c r="G225" i="10"/>
  <c r="A226" i="10"/>
  <c r="B226" i="10"/>
  <c r="C226" i="10"/>
  <c r="D226" i="10"/>
  <c r="E226" i="10"/>
  <c r="F226" i="10"/>
  <c r="G226" i="10"/>
  <c r="A227" i="10"/>
  <c r="B227" i="10"/>
  <c r="C227" i="10"/>
  <c r="D227" i="10"/>
  <c r="E227" i="10"/>
  <c r="F227" i="10"/>
  <c r="G227" i="10"/>
  <c r="A228" i="10"/>
  <c r="B228" i="10"/>
  <c r="C228" i="10"/>
  <c r="D228" i="10"/>
  <c r="E228" i="10"/>
  <c r="F228" i="10"/>
  <c r="G228" i="10"/>
  <c r="A229" i="10"/>
  <c r="B229" i="10"/>
  <c r="C229" i="10"/>
  <c r="D229" i="10"/>
  <c r="E229" i="10"/>
  <c r="F229" i="10"/>
  <c r="G229" i="10"/>
  <c r="A230" i="10"/>
  <c r="B230" i="10"/>
  <c r="C230" i="10"/>
  <c r="D230" i="10"/>
  <c r="E230" i="10"/>
  <c r="F230" i="10"/>
  <c r="G230" i="10"/>
  <c r="A231" i="10"/>
  <c r="B231" i="10"/>
  <c r="C231" i="10"/>
  <c r="D231" i="10"/>
  <c r="E231" i="10"/>
  <c r="F231" i="10"/>
  <c r="G231" i="10"/>
  <c r="A232" i="10"/>
  <c r="B232" i="10"/>
  <c r="C232" i="10"/>
  <c r="D232" i="10"/>
  <c r="E232" i="10"/>
  <c r="F232" i="10"/>
  <c r="G232" i="10"/>
  <c r="A233" i="10"/>
  <c r="B233" i="10"/>
  <c r="C233" i="10"/>
  <c r="D233" i="10"/>
  <c r="E233" i="10"/>
  <c r="F233" i="10"/>
  <c r="G233" i="10"/>
  <c r="A234" i="10"/>
  <c r="B234" i="10"/>
  <c r="C234" i="10"/>
  <c r="D234" i="10"/>
  <c r="E234" i="10"/>
  <c r="F234" i="10"/>
  <c r="G234" i="10"/>
  <c r="A235" i="10"/>
  <c r="B235" i="10"/>
  <c r="C235" i="10"/>
  <c r="D235" i="10"/>
  <c r="E235" i="10"/>
  <c r="F235" i="10"/>
  <c r="G235" i="10"/>
  <c r="A236" i="10"/>
  <c r="B236" i="10"/>
  <c r="C236" i="10"/>
  <c r="D236" i="10"/>
  <c r="E236" i="10"/>
  <c r="F236" i="10"/>
  <c r="G236" i="10"/>
  <c r="A237" i="10"/>
  <c r="B237" i="10"/>
  <c r="C237" i="10"/>
  <c r="D237" i="10"/>
  <c r="E237" i="10"/>
  <c r="F237" i="10"/>
  <c r="G237" i="10"/>
  <c r="A238" i="10"/>
  <c r="B238" i="10"/>
  <c r="C238" i="10"/>
  <c r="D238" i="10"/>
  <c r="E238" i="10"/>
  <c r="F238" i="10"/>
  <c r="G238" i="10"/>
  <c r="A239" i="10"/>
  <c r="B239" i="10"/>
  <c r="C239" i="10"/>
  <c r="D239" i="10"/>
  <c r="E239" i="10"/>
  <c r="F239" i="10"/>
  <c r="G239" i="10"/>
  <c r="A240" i="10"/>
  <c r="B240" i="10"/>
  <c r="C240" i="10"/>
  <c r="D240" i="10"/>
  <c r="E240" i="10"/>
  <c r="F240" i="10"/>
  <c r="G240" i="10"/>
  <c r="A241" i="10"/>
  <c r="B241" i="10"/>
  <c r="C241" i="10"/>
  <c r="D241" i="10"/>
  <c r="E241" i="10"/>
  <c r="F241" i="10"/>
  <c r="G241" i="10"/>
  <c r="A242" i="10"/>
  <c r="B242" i="10"/>
  <c r="C242" i="10"/>
  <c r="D242" i="10"/>
  <c r="E242" i="10"/>
  <c r="F242" i="10"/>
  <c r="G242" i="10"/>
  <c r="A243" i="10"/>
  <c r="B243" i="10"/>
  <c r="C243" i="10"/>
  <c r="D243" i="10"/>
  <c r="E243" i="10"/>
  <c r="F243" i="10"/>
  <c r="G243" i="10"/>
  <c r="A244" i="10"/>
  <c r="B244" i="10"/>
  <c r="C244" i="10"/>
  <c r="D244" i="10"/>
  <c r="E244" i="10"/>
  <c r="F244" i="10"/>
  <c r="G244" i="10"/>
  <c r="A245" i="10"/>
  <c r="B245" i="10"/>
  <c r="C245" i="10"/>
  <c r="D245" i="10"/>
  <c r="E245" i="10"/>
  <c r="F245" i="10"/>
  <c r="G245" i="10"/>
  <c r="A246" i="10"/>
  <c r="B246" i="10"/>
  <c r="C246" i="10"/>
  <c r="D246" i="10"/>
  <c r="E246" i="10"/>
  <c r="F246" i="10"/>
  <c r="G246" i="10"/>
  <c r="A247" i="10"/>
  <c r="B247" i="10"/>
  <c r="C247" i="10"/>
  <c r="D247" i="10"/>
  <c r="E247" i="10"/>
  <c r="F247" i="10"/>
  <c r="G247" i="10"/>
  <c r="A248" i="10"/>
  <c r="B248" i="10"/>
  <c r="C248" i="10"/>
  <c r="D248" i="10"/>
  <c r="E248" i="10"/>
  <c r="F248" i="10"/>
  <c r="G248" i="10"/>
  <c r="A249" i="10"/>
  <c r="B249" i="10"/>
  <c r="C249" i="10"/>
  <c r="D249" i="10"/>
  <c r="E249" i="10"/>
  <c r="F249" i="10"/>
  <c r="G249" i="10"/>
  <c r="A250" i="10"/>
  <c r="B250" i="10"/>
  <c r="C250" i="10"/>
  <c r="D250" i="10"/>
  <c r="E250" i="10"/>
  <c r="F250" i="10"/>
  <c r="G250" i="10"/>
  <c r="A251" i="10"/>
  <c r="B251" i="10"/>
  <c r="C251" i="10"/>
  <c r="D251" i="10"/>
  <c r="E251" i="10"/>
  <c r="F251" i="10"/>
  <c r="G251" i="10"/>
  <c r="B212" i="10"/>
  <c r="C212" i="10"/>
  <c r="D212" i="10"/>
  <c r="E212" i="10"/>
  <c r="G212" i="10"/>
  <c r="B173" i="10"/>
  <c r="C173" i="10"/>
  <c r="E173" i="10"/>
  <c r="G173" i="10"/>
  <c r="A174" i="10"/>
  <c r="B174" i="10"/>
  <c r="C174" i="10"/>
  <c r="E174" i="10"/>
  <c r="G174" i="10"/>
  <c r="A175" i="10"/>
  <c r="B175" i="10"/>
  <c r="C175" i="10"/>
  <c r="E175" i="10"/>
  <c r="G175" i="10"/>
  <c r="B176" i="10"/>
  <c r="C176" i="10"/>
  <c r="E176" i="10"/>
  <c r="G176" i="10"/>
  <c r="B177" i="10"/>
  <c r="C177" i="10"/>
  <c r="E177" i="10"/>
  <c r="G177" i="10"/>
  <c r="B178" i="10"/>
  <c r="C178" i="10"/>
  <c r="E178" i="10"/>
  <c r="G178" i="10"/>
  <c r="B179" i="10"/>
  <c r="C179" i="10"/>
  <c r="D179" i="10"/>
  <c r="E179" i="10"/>
  <c r="G179" i="10"/>
  <c r="A180" i="10"/>
  <c r="B180" i="10"/>
  <c r="C180" i="10"/>
  <c r="E180" i="10"/>
  <c r="G180" i="10"/>
  <c r="B181" i="10"/>
  <c r="C181" i="10"/>
  <c r="E181" i="10"/>
  <c r="G181" i="10"/>
  <c r="A182" i="10"/>
  <c r="B182" i="10"/>
  <c r="C182" i="10"/>
  <c r="E182" i="10"/>
  <c r="G182" i="10"/>
  <c r="A183" i="10"/>
  <c r="B183" i="10"/>
  <c r="C183" i="10"/>
  <c r="D183" i="10"/>
  <c r="E183" i="10"/>
  <c r="F183" i="10"/>
  <c r="G183" i="10"/>
  <c r="A184" i="10"/>
  <c r="B184" i="10"/>
  <c r="C184" i="10"/>
  <c r="D184" i="10"/>
  <c r="E184" i="10"/>
  <c r="F184" i="10"/>
  <c r="G184" i="10"/>
  <c r="A185" i="10"/>
  <c r="B185" i="10"/>
  <c r="C185" i="10"/>
  <c r="D185" i="10"/>
  <c r="E185" i="10"/>
  <c r="F185" i="10"/>
  <c r="G185" i="10"/>
  <c r="A186" i="10"/>
  <c r="B186" i="10"/>
  <c r="C186" i="10"/>
  <c r="D186" i="10"/>
  <c r="E186" i="10"/>
  <c r="F186" i="10"/>
  <c r="G186" i="10"/>
  <c r="A187" i="10"/>
  <c r="B187" i="10"/>
  <c r="C187" i="10"/>
  <c r="D187" i="10"/>
  <c r="E187" i="10"/>
  <c r="F187" i="10"/>
  <c r="G187" i="10"/>
  <c r="A188" i="10"/>
  <c r="B188" i="10"/>
  <c r="C188" i="10"/>
  <c r="D188" i="10"/>
  <c r="E188" i="10"/>
  <c r="F188" i="10"/>
  <c r="G188" i="10"/>
  <c r="A189" i="10"/>
  <c r="B189" i="10"/>
  <c r="C189" i="10"/>
  <c r="D189" i="10"/>
  <c r="E189" i="10"/>
  <c r="F189" i="10"/>
  <c r="G189" i="10"/>
  <c r="A190" i="10"/>
  <c r="B190" i="10"/>
  <c r="C190" i="10"/>
  <c r="D190" i="10"/>
  <c r="E190" i="10"/>
  <c r="F190" i="10"/>
  <c r="G190" i="10"/>
  <c r="A191" i="10"/>
  <c r="B191" i="10"/>
  <c r="C191" i="10"/>
  <c r="D191" i="10"/>
  <c r="E191" i="10"/>
  <c r="F191" i="10"/>
  <c r="G191" i="10"/>
  <c r="A192" i="10"/>
  <c r="B192" i="10"/>
  <c r="C192" i="10"/>
  <c r="D192" i="10"/>
  <c r="E192" i="10"/>
  <c r="F192" i="10"/>
  <c r="G192" i="10"/>
  <c r="A193" i="10"/>
  <c r="B193" i="10"/>
  <c r="C193" i="10"/>
  <c r="D193" i="10"/>
  <c r="E193" i="10"/>
  <c r="F193" i="10"/>
  <c r="G193" i="10"/>
  <c r="A194" i="10"/>
  <c r="B194" i="10"/>
  <c r="C194" i="10"/>
  <c r="D194" i="10"/>
  <c r="E194" i="10"/>
  <c r="F194" i="10"/>
  <c r="G194" i="10"/>
  <c r="A195" i="10"/>
  <c r="B195" i="10"/>
  <c r="C195" i="10"/>
  <c r="D195" i="10"/>
  <c r="E195" i="10"/>
  <c r="F195" i="10"/>
  <c r="G195" i="10"/>
  <c r="A196" i="10"/>
  <c r="B196" i="10"/>
  <c r="C196" i="10"/>
  <c r="D196" i="10"/>
  <c r="E196" i="10"/>
  <c r="F196" i="10"/>
  <c r="G196" i="10"/>
  <c r="A197" i="10"/>
  <c r="B197" i="10"/>
  <c r="C197" i="10"/>
  <c r="D197" i="10"/>
  <c r="E197" i="10"/>
  <c r="F197" i="10"/>
  <c r="G197" i="10"/>
  <c r="A198" i="10"/>
  <c r="B198" i="10"/>
  <c r="C198" i="10"/>
  <c r="D198" i="10"/>
  <c r="E198" i="10"/>
  <c r="F198" i="10"/>
  <c r="G198" i="10"/>
  <c r="A199" i="10"/>
  <c r="B199" i="10"/>
  <c r="C199" i="10"/>
  <c r="D199" i="10"/>
  <c r="E199" i="10"/>
  <c r="F199" i="10"/>
  <c r="G199" i="10"/>
  <c r="A200" i="10"/>
  <c r="B200" i="10"/>
  <c r="C200" i="10"/>
  <c r="D200" i="10"/>
  <c r="E200" i="10"/>
  <c r="F200" i="10"/>
  <c r="G200" i="10"/>
  <c r="A201" i="10"/>
  <c r="B201" i="10"/>
  <c r="C201" i="10"/>
  <c r="D201" i="10"/>
  <c r="E201" i="10"/>
  <c r="F201" i="10"/>
  <c r="G201" i="10"/>
  <c r="A202" i="10"/>
  <c r="B202" i="10"/>
  <c r="C202" i="10"/>
  <c r="D202" i="10"/>
  <c r="E202" i="10"/>
  <c r="F202" i="10"/>
  <c r="G202" i="10"/>
  <c r="A203" i="10"/>
  <c r="B203" i="10"/>
  <c r="C203" i="10"/>
  <c r="D203" i="10"/>
  <c r="E203" i="10"/>
  <c r="F203" i="10"/>
  <c r="G203" i="10"/>
  <c r="A204" i="10"/>
  <c r="B204" i="10"/>
  <c r="C204" i="10"/>
  <c r="D204" i="10"/>
  <c r="E204" i="10"/>
  <c r="F204" i="10"/>
  <c r="G204" i="10"/>
  <c r="A205" i="10"/>
  <c r="B205" i="10"/>
  <c r="C205" i="10"/>
  <c r="D205" i="10"/>
  <c r="E205" i="10"/>
  <c r="F205" i="10"/>
  <c r="G205" i="10"/>
  <c r="A206" i="10"/>
  <c r="B206" i="10"/>
  <c r="C206" i="10"/>
  <c r="D206" i="10"/>
  <c r="E206" i="10"/>
  <c r="F206" i="10"/>
  <c r="G206" i="10"/>
  <c r="A207" i="10"/>
  <c r="B207" i="10"/>
  <c r="C207" i="10"/>
  <c r="D207" i="10"/>
  <c r="E207" i="10"/>
  <c r="F207" i="10"/>
  <c r="G207" i="10"/>
  <c r="A208" i="10"/>
  <c r="B208" i="10"/>
  <c r="C208" i="10"/>
  <c r="D208" i="10"/>
  <c r="E208" i="10"/>
  <c r="F208" i="10"/>
  <c r="G208" i="10"/>
  <c r="A209" i="10"/>
  <c r="B209" i="10"/>
  <c r="C209" i="10"/>
  <c r="D209" i="10"/>
  <c r="E209" i="10"/>
  <c r="F209" i="10"/>
  <c r="G209" i="10"/>
  <c r="A210" i="10"/>
  <c r="B210" i="10"/>
  <c r="C210" i="10"/>
  <c r="D210" i="10"/>
  <c r="E210" i="10"/>
  <c r="F210" i="10"/>
  <c r="G210" i="10"/>
  <c r="A211" i="10"/>
  <c r="B211" i="10"/>
  <c r="C211" i="10"/>
  <c r="D211" i="10"/>
  <c r="E211" i="10"/>
  <c r="F211" i="10"/>
  <c r="G211" i="10"/>
  <c r="B172" i="10"/>
  <c r="C172" i="10"/>
  <c r="D172" i="10"/>
  <c r="E172" i="10"/>
  <c r="G172" i="10"/>
  <c r="B133" i="10"/>
  <c r="C133" i="10"/>
  <c r="E133" i="10"/>
  <c r="G133" i="10"/>
  <c r="B134" i="10"/>
  <c r="C134" i="10"/>
  <c r="E134" i="10"/>
  <c r="G134" i="10"/>
  <c r="B135" i="10"/>
  <c r="C135" i="10"/>
  <c r="E135" i="10"/>
  <c r="G135" i="10"/>
  <c r="A136" i="10"/>
  <c r="B136" i="10"/>
  <c r="C136" i="10"/>
  <c r="E136" i="10"/>
  <c r="G136" i="10"/>
  <c r="B137" i="10"/>
  <c r="C137" i="10"/>
  <c r="E137" i="10"/>
  <c r="G137" i="10"/>
  <c r="B138" i="10"/>
  <c r="C138" i="10"/>
  <c r="E138" i="10"/>
  <c r="G138" i="10"/>
  <c r="B139" i="10"/>
  <c r="C139" i="10"/>
  <c r="D139" i="10"/>
  <c r="E139" i="10"/>
  <c r="G139" i="10"/>
  <c r="B140" i="10"/>
  <c r="C140" i="10"/>
  <c r="E140" i="10"/>
  <c r="G140" i="10"/>
  <c r="B141" i="10"/>
  <c r="C141" i="10"/>
  <c r="E141" i="10"/>
  <c r="G141" i="10"/>
  <c r="B142" i="10"/>
  <c r="C142" i="10"/>
  <c r="E142" i="10"/>
  <c r="G142" i="10"/>
  <c r="B143" i="10"/>
  <c r="C143" i="10"/>
  <c r="E143" i="10"/>
  <c r="G143" i="10"/>
  <c r="A144" i="10"/>
  <c r="B144" i="10"/>
  <c r="C144" i="10"/>
  <c r="E144" i="10"/>
  <c r="G144" i="10"/>
  <c r="A145" i="10"/>
  <c r="B145" i="10"/>
  <c r="C145" i="10"/>
  <c r="D145" i="10"/>
  <c r="E145" i="10"/>
  <c r="F145" i="10"/>
  <c r="G145" i="10"/>
  <c r="A146" i="10"/>
  <c r="B146" i="10"/>
  <c r="C146" i="10"/>
  <c r="D146" i="10"/>
  <c r="E146" i="10"/>
  <c r="F146" i="10"/>
  <c r="G146" i="10"/>
  <c r="A147" i="10"/>
  <c r="B147" i="10"/>
  <c r="C147" i="10"/>
  <c r="D147" i="10"/>
  <c r="E147" i="10"/>
  <c r="F147" i="10"/>
  <c r="G147" i="10"/>
  <c r="A148" i="10"/>
  <c r="B148" i="10"/>
  <c r="C148" i="10"/>
  <c r="D148" i="10"/>
  <c r="E148" i="10"/>
  <c r="F148" i="10"/>
  <c r="G148" i="10"/>
  <c r="A149" i="10"/>
  <c r="B149" i="10"/>
  <c r="C149" i="10"/>
  <c r="D149" i="10"/>
  <c r="E149" i="10"/>
  <c r="F149" i="10"/>
  <c r="G149" i="10"/>
  <c r="A150" i="10"/>
  <c r="B150" i="10"/>
  <c r="C150" i="10"/>
  <c r="D150" i="10"/>
  <c r="E150" i="10"/>
  <c r="F150" i="10"/>
  <c r="G150" i="10"/>
  <c r="A151" i="10"/>
  <c r="B151" i="10"/>
  <c r="C151" i="10"/>
  <c r="D151" i="10"/>
  <c r="E151" i="10"/>
  <c r="F151" i="10"/>
  <c r="G151" i="10"/>
  <c r="A152" i="10"/>
  <c r="B152" i="10"/>
  <c r="C152" i="10"/>
  <c r="D152" i="10"/>
  <c r="E152" i="10"/>
  <c r="F152" i="10"/>
  <c r="G152" i="10"/>
  <c r="A153" i="10"/>
  <c r="B153" i="10"/>
  <c r="C153" i="10"/>
  <c r="D153" i="10"/>
  <c r="E153" i="10"/>
  <c r="F153" i="10"/>
  <c r="G153" i="10"/>
  <c r="A154" i="10"/>
  <c r="B154" i="10"/>
  <c r="C154" i="10"/>
  <c r="D154" i="10"/>
  <c r="E154" i="10"/>
  <c r="F154" i="10"/>
  <c r="G154" i="10"/>
  <c r="A155" i="10"/>
  <c r="B155" i="10"/>
  <c r="C155" i="10"/>
  <c r="D155" i="10"/>
  <c r="E155" i="10"/>
  <c r="F155" i="10"/>
  <c r="G155" i="10"/>
  <c r="A156" i="10"/>
  <c r="B156" i="10"/>
  <c r="C156" i="10"/>
  <c r="D156" i="10"/>
  <c r="E156" i="10"/>
  <c r="F156" i="10"/>
  <c r="G156" i="10"/>
  <c r="A157" i="10"/>
  <c r="B157" i="10"/>
  <c r="C157" i="10"/>
  <c r="D157" i="10"/>
  <c r="E157" i="10"/>
  <c r="F157" i="10"/>
  <c r="G157" i="10"/>
  <c r="A158" i="10"/>
  <c r="B158" i="10"/>
  <c r="C158" i="10"/>
  <c r="D158" i="10"/>
  <c r="E158" i="10"/>
  <c r="F158" i="10"/>
  <c r="G158" i="10"/>
  <c r="A159" i="10"/>
  <c r="B159" i="10"/>
  <c r="C159" i="10"/>
  <c r="D159" i="10"/>
  <c r="E159" i="10"/>
  <c r="F159" i="10"/>
  <c r="G159" i="10"/>
  <c r="A160" i="10"/>
  <c r="B160" i="10"/>
  <c r="C160" i="10"/>
  <c r="D160" i="10"/>
  <c r="E160" i="10"/>
  <c r="F160" i="10"/>
  <c r="G160" i="10"/>
  <c r="A161" i="10"/>
  <c r="B161" i="10"/>
  <c r="C161" i="10"/>
  <c r="D161" i="10"/>
  <c r="E161" i="10"/>
  <c r="F161" i="10"/>
  <c r="G161" i="10"/>
  <c r="A162" i="10"/>
  <c r="B162" i="10"/>
  <c r="C162" i="10"/>
  <c r="D162" i="10"/>
  <c r="E162" i="10"/>
  <c r="F162" i="10"/>
  <c r="G162" i="10"/>
  <c r="A163" i="10"/>
  <c r="B163" i="10"/>
  <c r="C163" i="10"/>
  <c r="D163" i="10"/>
  <c r="E163" i="10"/>
  <c r="F163" i="10"/>
  <c r="G163" i="10"/>
  <c r="A164" i="10"/>
  <c r="B164" i="10"/>
  <c r="C164" i="10"/>
  <c r="D164" i="10"/>
  <c r="E164" i="10"/>
  <c r="F164" i="10"/>
  <c r="G164" i="10"/>
  <c r="A165" i="10"/>
  <c r="B165" i="10"/>
  <c r="C165" i="10"/>
  <c r="D165" i="10"/>
  <c r="E165" i="10"/>
  <c r="F165" i="10"/>
  <c r="G165" i="10"/>
  <c r="A166" i="10"/>
  <c r="B166" i="10"/>
  <c r="C166" i="10"/>
  <c r="D166" i="10"/>
  <c r="E166" i="10"/>
  <c r="F166" i="10"/>
  <c r="G166" i="10"/>
  <c r="A167" i="10"/>
  <c r="B167" i="10"/>
  <c r="C167" i="10"/>
  <c r="D167" i="10"/>
  <c r="E167" i="10"/>
  <c r="F167" i="10"/>
  <c r="G167" i="10"/>
  <c r="A168" i="10"/>
  <c r="B168" i="10"/>
  <c r="C168" i="10"/>
  <c r="D168" i="10"/>
  <c r="E168" i="10"/>
  <c r="F168" i="10"/>
  <c r="G168" i="10"/>
  <c r="A169" i="10"/>
  <c r="B169" i="10"/>
  <c r="C169" i="10"/>
  <c r="D169" i="10"/>
  <c r="E169" i="10"/>
  <c r="F169" i="10"/>
  <c r="G169" i="10"/>
  <c r="A170" i="10"/>
  <c r="B170" i="10"/>
  <c r="C170" i="10"/>
  <c r="D170" i="10"/>
  <c r="E170" i="10"/>
  <c r="F170" i="10"/>
  <c r="G170" i="10"/>
  <c r="A171" i="10"/>
  <c r="B171" i="10"/>
  <c r="C171" i="10"/>
  <c r="D171" i="10"/>
  <c r="E171" i="10"/>
  <c r="F171" i="10"/>
  <c r="G171" i="10"/>
  <c r="B132" i="10"/>
  <c r="C132" i="10"/>
  <c r="D132" i="10"/>
  <c r="E132" i="10"/>
  <c r="G132" i="10"/>
  <c r="B93" i="10"/>
  <c r="C93" i="10"/>
  <c r="E93" i="10"/>
  <c r="G93" i="10"/>
  <c r="B94" i="10"/>
  <c r="C94" i="10"/>
  <c r="E94" i="10"/>
  <c r="G94" i="10"/>
  <c r="B95" i="10"/>
  <c r="C95" i="10"/>
  <c r="E95" i="10"/>
  <c r="G95" i="10"/>
  <c r="B96" i="10"/>
  <c r="C96" i="10"/>
  <c r="E96" i="10"/>
  <c r="G96" i="10"/>
  <c r="B97" i="10"/>
  <c r="C97" i="10"/>
  <c r="E97" i="10"/>
  <c r="G97" i="10"/>
  <c r="B98" i="10"/>
  <c r="C98" i="10"/>
  <c r="E98" i="10"/>
  <c r="G98" i="10"/>
  <c r="B99" i="10"/>
  <c r="C99" i="10"/>
  <c r="D99" i="10"/>
  <c r="E99" i="10"/>
  <c r="G99" i="10"/>
  <c r="B100" i="10"/>
  <c r="C100" i="10"/>
  <c r="E100" i="10"/>
  <c r="G100" i="10"/>
  <c r="B101" i="10"/>
  <c r="C101" i="10"/>
  <c r="E101" i="10"/>
  <c r="G101" i="10"/>
  <c r="B102" i="10"/>
  <c r="C102" i="10"/>
  <c r="E102" i="10"/>
  <c r="G102" i="10"/>
  <c r="B103" i="10"/>
  <c r="C103" i="10"/>
  <c r="E103" i="10"/>
  <c r="G103" i="10"/>
  <c r="B104" i="10"/>
  <c r="C104" i="10"/>
  <c r="E104" i="10"/>
  <c r="G104" i="10"/>
  <c r="A105" i="10"/>
  <c r="B105" i="10"/>
  <c r="C105" i="10"/>
  <c r="E105" i="10"/>
  <c r="G105" i="10"/>
  <c r="B106" i="10"/>
  <c r="C106" i="10"/>
  <c r="D106" i="10"/>
  <c r="E106" i="10"/>
  <c r="G106" i="10"/>
  <c r="B107" i="10"/>
  <c r="C107" i="10"/>
  <c r="E107" i="10"/>
  <c r="G107" i="10"/>
  <c r="A108" i="10"/>
  <c r="B108" i="10"/>
  <c r="C108" i="10"/>
  <c r="E108" i="10"/>
  <c r="G108" i="10"/>
  <c r="A109" i="10"/>
  <c r="B109" i="10"/>
  <c r="C109" i="10"/>
  <c r="D109" i="10"/>
  <c r="E109" i="10"/>
  <c r="F109" i="10"/>
  <c r="G109" i="10"/>
  <c r="A110" i="10"/>
  <c r="B110" i="10"/>
  <c r="C110" i="10"/>
  <c r="D110" i="10"/>
  <c r="E110" i="10"/>
  <c r="F110" i="10"/>
  <c r="G110" i="10"/>
  <c r="A111" i="10"/>
  <c r="B111" i="10"/>
  <c r="C111" i="10"/>
  <c r="D111" i="10"/>
  <c r="E111" i="10"/>
  <c r="F111" i="10"/>
  <c r="G111" i="10"/>
  <c r="A112" i="10"/>
  <c r="B112" i="10"/>
  <c r="C112" i="10"/>
  <c r="D112" i="10"/>
  <c r="E112" i="10"/>
  <c r="F112" i="10"/>
  <c r="G112" i="10"/>
  <c r="A113" i="10"/>
  <c r="B113" i="10"/>
  <c r="C113" i="10"/>
  <c r="D113" i="10"/>
  <c r="E113" i="10"/>
  <c r="G113" i="10"/>
  <c r="A114" i="10"/>
  <c r="B114" i="10"/>
  <c r="C114" i="10"/>
  <c r="D114" i="10"/>
  <c r="E114" i="10"/>
  <c r="F114" i="10"/>
  <c r="G114" i="10"/>
  <c r="A115" i="10"/>
  <c r="B115" i="10"/>
  <c r="C115" i="10"/>
  <c r="D115" i="10"/>
  <c r="E115" i="10"/>
  <c r="F115" i="10"/>
  <c r="G115" i="10"/>
  <c r="A116" i="10"/>
  <c r="B116" i="10"/>
  <c r="C116" i="10"/>
  <c r="D116" i="10"/>
  <c r="E116" i="10"/>
  <c r="F116" i="10"/>
  <c r="G116" i="10"/>
  <c r="A117" i="10"/>
  <c r="B117" i="10"/>
  <c r="C117" i="10"/>
  <c r="D117" i="10"/>
  <c r="E117" i="10"/>
  <c r="F117" i="10"/>
  <c r="G117" i="10"/>
  <c r="A118" i="10"/>
  <c r="B118" i="10"/>
  <c r="C118" i="10"/>
  <c r="D118" i="10"/>
  <c r="E118" i="10"/>
  <c r="F118" i="10"/>
  <c r="G118" i="10"/>
  <c r="A119" i="10"/>
  <c r="B119" i="10"/>
  <c r="C119" i="10"/>
  <c r="D119" i="10"/>
  <c r="E119" i="10"/>
  <c r="F119" i="10"/>
  <c r="G119" i="10"/>
  <c r="A120" i="10"/>
  <c r="B120" i="10"/>
  <c r="C120" i="10"/>
  <c r="D120" i="10"/>
  <c r="E120" i="10"/>
  <c r="G120" i="10"/>
  <c r="A121" i="10"/>
  <c r="B121" i="10"/>
  <c r="C121" i="10"/>
  <c r="D121" i="10"/>
  <c r="E121" i="10"/>
  <c r="F121" i="10"/>
  <c r="G121" i="10"/>
  <c r="A122" i="10"/>
  <c r="B122" i="10"/>
  <c r="C122" i="10"/>
  <c r="D122" i="10"/>
  <c r="E122" i="10"/>
  <c r="F122" i="10"/>
  <c r="G122" i="10"/>
  <c r="A123" i="10"/>
  <c r="B123" i="10"/>
  <c r="C123" i="10"/>
  <c r="D123" i="10"/>
  <c r="E123" i="10"/>
  <c r="F123" i="10"/>
  <c r="G123" i="10"/>
  <c r="A124" i="10"/>
  <c r="B124" i="10"/>
  <c r="C124" i="10"/>
  <c r="D124" i="10"/>
  <c r="E124" i="10"/>
  <c r="F124" i="10"/>
  <c r="G124" i="10"/>
  <c r="A125" i="10"/>
  <c r="B125" i="10"/>
  <c r="C125" i="10"/>
  <c r="D125" i="10"/>
  <c r="E125" i="10"/>
  <c r="F125" i="10"/>
  <c r="G125" i="10"/>
  <c r="A126" i="10"/>
  <c r="B126" i="10"/>
  <c r="C126" i="10"/>
  <c r="D126" i="10"/>
  <c r="E126" i="10"/>
  <c r="F126" i="10"/>
  <c r="G126" i="10"/>
  <c r="A127" i="10"/>
  <c r="B127" i="10"/>
  <c r="C127" i="10"/>
  <c r="D127" i="10"/>
  <c r="E127" i="10"/>
  <c r="G127" i="10"/>
  <c r="A128" i="10"/>
  <c r="B128" i="10"/>
  <c r="C128" i="10"/>
  <c r="D128" i="10"/>
  <c r="E128" i="10"/>
  <c r="F128" i="10"/>
  <c r="G128" i="10"/>
  <c r="A129" i="10"/>
  <c r="B129" i="10"/>
  <c r="C129" i="10"/>
  <c r="D129" i="10"/>
  <c r="E129" i="10"/>
  <c r="F129" i="10"/>
  <c r="G129" i="10"/>
  <c r="A130" i="10"/>
  <c r="B130" i="10"/>
  <c r="C130" i="10"/>
  <c r="E130" i="10"/>
  <c r="F130" i="10"/>
  <c r="G130" i="10"/>
  <c r="A131" i="10"/>
  <c r="B131" i="10"/>
  <c r="C131" i="10"/>
  <c r="D131" i="10"/>
  <c r="E131" i="10"/>
  <c r="F131" i="10"/>
  <c r="G131" i="10"/>
  <c r="B92" i="10"/>
  <c r="C92" i="10"/>
  <c r="D92" i="10"/>
  <c r="E92" i="10"/>
  <c r="G92" i="10"/>
  <c r="B53" i="10"/>
  <c r="C53" i="10"/>
  <c r="E53" i="10"/>
  <c r="G53" i="10"/>
  <c r="B54" i="10"/>
  <c r="C54" i="10"/>
  <c r="E54" i="10"/>
  <c r="G54" i="10"/>
  <c r="B55" i="10"/>
  <c r="C55" i="10"/>
  <c r="E55" i="10"/>
  <c r="G55" i="10"/>
  <c r="B56" i="10"/>
  <c r="C56" i="10"/>
  <c r="E56" i="10"/>
  <c r="G56" i="10"/>
  <c r="B57" i="10"/>
  <c r="C57" i="10"/>
  <c r="E57" i="10"/>
  <c r="G57" i="10"/>
  <c r="B58" i="10"/>
  <c r="C58" i="10"/>
  <c r="E58" i="10"/>
  <c r="G58" i="10"/>
  <c r="B59" i="10"/>
  <c r="C59" i="10"/>
  <c r="E59" i="10"/>
  <c r="G59" i="10"/>
  <c r="B60" i="10"/>
  <c r="C60" i="10"/>
  <c r="E60" i="10"/>
  <c r="G60" i="10"/>
  <c r="B61" i="10"/>
  <c r="C61" i="10"/>
  <c r="E61" i="10"/>
  <c r="G61" i="10"/>
  <c r="B62" i="10"/>
  <c r="C62" i="10"/>
  <c r="E62" i="10"/>
  <c r="G62" i="10"/>
  <c r="B63" i="10"/>
  <c r="C63" i="10"/>
  <c r="E63" i="10"/>
  <c r="G63" i="10"/>
  <c r="B64" i="10"/>
  <c r="C64" i="10"/>
  <c r="E64" i="10"/>
  <c r="G64" i="10"/>
  <c r="B65" i="10"/>
  <c r="C65" i="10"/>
  <c r="E65" i="10"/>
  <c r="G65" i="10"/>
  <c r="B66" i="10"/>
  <c r="C66" i="10"/>
  <c r="E66" i="10"/>
  <c r="G66" i="10"/>
  <c r="B67" i="10"/>
  <c r="C67" i="10"/>
  <c r="E67" i="10"/>
  <c r="G67" i="10"/>
  <c r="B68" i="10"/>
  <c r="C68" i="10"/>
  <c r="E68" i="10"/>
  <c r="G68" i="10"/>
  <c r="B69" i="10"/>
  <c r="C69" i="10"/>
  <c r="E69" i="10"/>
  <c r="G69" i="10"/>
  <c r="A70" i="10"/>
  <c r="B70" i="10"/>
  <c r="C70" i="10"/>
  <c r="E70" i="10"/>
  <c r="G70" i="10"/>
  <c r="B71" i="10"/>
  <c r="C71" i="10"/>
  <c r="E71" i="10"/>
  <c r="G71" i="10"/>
  <c r="B72" i="10"/>
  <c r="C72" i="10"/>
  <c r="E72" i="10"/>
  <c r="G72" i="10"/>
  <c r="B73" i="10"/>
  <c r="C73" i="10"/>
  <c r="E73" i="10"/>
  <c r="G73" i="10"/>
  <c r="A74" i="10"/>
  <c r="B74" i="10"/>
  <c r="C74" i="10"/>
  <c r="E74" i="10"/>
  <c r="G74" i="10"/>
  <c r="B75" i="10"/>
  <c r="C75" i="10"/>
  <c r="E75" i="10"/>
  <c r="G75" i="10"/>
  <c r="B76" i="10"/>
  <c r="C76" i="10"/>
  <c r="E76" i="10"/>
  <c r="G76" i="10"/>
  <c r="A77" i="10"/>
  <c r="B77" i="10"/>
  <c r="C77" i="10"/>
  <c r="E77" i="10"/>
  <c r="G77" i="10"/>
  <c r="B78" i="10"/>
  <c r="C78" i="10"/>
  <c r="E78" i="10"/>
  <c r="G78" i="10"/>
  <c r="B79" i="10"/>
  <c r="C79" i="10"/>
  <c r="E79" i="10"/>
  <c r="G79" i="10"/>
  <c r="B80" i="10"/>
  <c r="C80" i="10"/>
  <c r="E80" i="10"/>
  <c r="G80" i="10"/>
  <c r="A81" i="10"/>
  <c r="B81" i="10"/>
  <c r="C81" i="10"/>
  <c r="E81" i="10"/>
  <c r="G81" i="10"/>
  <c r="A82" i="10"/>
  <c r="B82" i="10"/>
  <c r="C82" i="10"/>
  <c r="E82" i="10"/>
  <c r="G82" i="10"/>
  <c r="A83" i="10"/>
  <c r="B83" i="10"/>
  <c r="C83" i="10"/>
  <c r="E83" i="10"/>
  <c r="G83" i="10"/>
  <c r="B84" i="10"/>
  <c r="C84" i="10"/>
  <c r="E84" i="10"/>
  <c r="G84" i="10"/>
  <c r="B85" i="10"/>
  <c r="C85" i="10"/>
  <c r="E85" i="10"/>
  <c r="G85" i="10"/>
  <c r="A86" i="10"/>
  <c r="B86" i="10"/>
  <c r="C86" i="10"/>
  <c r="E86" i="10"/>
  <c r="G86" i="10"/>
  <c r="B87" i="10"/>
  <c r="C87" i="10"/>
  <c r="E87" i="10"/>
  <c r="G87" i="10"/>
  <c r="B88" i="10"/>
  <c r="C88" i="10"/>
  <c r="E88" i="10"/>
  <c r="G88" i="10"/>
  <c r="A89" i="10"/>
  <c r="B89" i="10"/>
  <c r="C89" i="10"/>
  <c r="E89" i="10"/>
  <c r="G89" i="10"/>
  <c r="A90" i="10"/>
  <c r="B90" i="10"/>
  <c r="C90" i="10"/>
  <c r="D90" i="10"/>
  <c r="E90" i="10"/>
  <c r="F90" i="10"/>
  <c r="G90" i="10"/>
  <c r="A91" i="10"/>
  <c r="B91" i="10"/>
  <c r="C91" i="10"/>
  <c r="D91" i="10"/>
  <c r="E91" i="10"/>
  <c r="F91" i="10"/>
  <c r="G91" i="10"/>
  <c r="D52" i="10"/>
  <c r="E52" i="10"/>
  <c r="G52" i="10"/>
  <c r="B52" i="10"/>
  <c r="C52" i="10"/>
  <c r="A214" i="10"/>
  <c r="A215" i="10"/>
  <c r="A216" i="10"/>
  <c r="A218" i="10"/>
  <c r="A219" i="10"/>
  <c r="A220" i="10"/>
  <c r="A221" i="10"/>
  <c r="A222" i="10"/>
  <c r="A212" i="10"/>
  <c r="A173" i="10"/>
  <c r="A176" i="10"/>
  <c r="A177" i="10"/>
  <c r="A178" i="10"/>
  <c r="A179" i="10"/>
  <c r="A181" i="10"/>
  <c r="A172" i="10"/>
  <c r="A133" i="10"/>
  <c r="A134" i="10"/>
  <c r="A135" i="10"/>
  <c r="A137" i="10"/>
  <c r="A138" i="10"/>
  <c r="A139" i="10"/>
  <c r="A140" i="10"/>
  <c r="A141" i="10"/>
  <c r="A142" i="10"/>
  <c r="A143" i="10"/>
  <c r="A13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6" i="10"/>
  <c r="A107" i="10"/>
  <c r="A92" i="10"/>
  <c r="A4" i="1"/>
  <c r="A53" i="10" s="1"/>
  <c r="A5" i="1"/>
  <c r="A54" i="10" s="1"/>
  <c r="A6" i="1"/>
  <c r="A55" i="10" s="1"/>
  <c r="A7" i="1"/>
  <c r="A56" i="10" s="1"/>
  <c r="A8" i="1"/>
  <c r="A57" i="10" s="1"/>
  <c r="A9" i="1"/>
  <c r="A58" i="10" s="1"/>
  <c r="A10" i="1"/>
  <c r="A59" i="10" s="1"/>
  <c r="A11" i="1"/>
  <c r="A60" i="10" s="1"/>
  <c r="A12" i="1"/>
  <c r="A61" i="10" s="1"/>
  <c r="A13" i="1"/>
  <c r="A62" i="10" s="1"/>
  <c r="A14" i="1"/>
  <c r="A63" i="10" s="1"/>
  <c r="A15" i="1"/>
  <c r="A64" i="10" s="1"/>
  <c r="A16" i="1"/>
  <c r="A65" i="10" s="1"/>
  <c r="A17" i="1"/>
  <c r="A66" i="10" s="1"/>
  <c r="A18" i="1"/>
  <c r="A67" i="10" s="1"/>
  <c r="A19" i="1"/>
  <c r="A68" i="10" s="1"/>
  <c r="A20" i="1"/>
  <c r="A69" i="10" s="1"/>
  <c r="A21" i="1"/>
  <c r="A22" i="1"/>
  <c r="A71" i="10" s="1"/>
  <c r="A23" i="1"/>
  <c r="A72" i="10" s="1"/>
  <c r="A24" i="1"/>
  <c r="A73" i="10" s="1"/>
  <c r="A25" i="1"/>
  <c r="A26" i="1"/>
  <c r="A75" i="10" s="1"/>
  <c r="A27" i="1"/>
  <c r="A76" i="10" s="1"/>
  <c r="A28" i="1"/>
  <c r="A29" i="1"/>
  <c r="A78" i="10" s="1"/>
  <c r="A30" i="1"/>
  <c r="A79" i="10" s="1"/>
  <c r="A31" i="1"/>
  <c r="A80" i="10" s="1"/>
  <c r="A32" i="1"/>
  <c r="A33" i="1"/>
  <c r="A34" i="1"/>
  <c r="A35" i="1"/>
  <c r="A84" i="10" s="1"/>
  <c r="A36" i="1"/>
  <c r="A85" i="10" s="1"/>
  <c r="A37" i="1"/>
  <c r="A38" i="1"/>
  <c r="A87" i="10" s="1"/>
  <c r="A39" i="1"/>
  <c r="A88" i="10" s="1"/>
  <c r="A40" i="1"/>
  <c r="A3" i="1"/>
  <c r="A52" i="10" s="1"/>
  <c r="G3" i="10" l="1" a="1"/>
  <c r="G3" i="10" s="1"/>
  <c r="G4" i="10" s="1" a="1"/>
  <c r="G4" i="10" s="1"/>
  <c r="J3" i="7" a="1"/>
  <c r="J3" i="7" s="1"/>
  <c r="F175" i="10"/>
  <c r="F176" i="10"/>
  <c r="F106" i="10"/>
  <c r="F113" i="10"/>
  <c r="F120" i="10"/>
  <c r="F127" i="10"/>
  <c r="D223" i="10"/>
  <c r="D222" i="10"/>
  <c r="D221" i="10"/>
  <c r="F219" i="10"/>
  <c r="D218" i="10"/>
  <c r="F218" i="10"/>
  <c r="D217" i="10"/>
  <c r="D216" i="10"/>
  <c r="D213" i="10"/>
  <c r="D182" i="10"/>
  <c r="F179" i="10"/>
  <c r="D178" i="10"/>
  <c r="F178" i="10"/>
  <c r="D177" i="10"/>
  <c r="F177" i="10"/>
  <c r="D176" i="10"/>
  <c r="D175" i="10"/>
  <c r="D143" i="10"/>
  <c r="D142" i="10"/>
  <c r="D141" i="10"/>
  <c r="F139" i="10"/>
  <c r="D136" i="10"/>
  <c r="D108" i="10"/>
  <c r="D107" i="10"/>
  <c r="D105" i="10"/>
  <c r="D104" i="10"/>
  <c r="D103" i="10"/>
  <c r="D102" i="10"/>
  <c r="F99" i="10"/>
  <c r="D98" i="10"/>
  <c r="D97" i="10"/>
  <c r="D96" i="10"/>
  <c r="D95" i="10"/>
  <c r="D94" i="10"/>
  <c r="F223" i="10" l="1"/>
  <c r="F220" i="10"/>
  <c r="D220" i="10"/>
  <c r="F217" i="10"/>
  <c r="F216" i="10"/>
  <c r="F215" i="10"/>
  <c r="D215" i="10"/>
  <c r="F214" i="10"/>
  <c r="D214" i="10"/>
  <c r="F182" i="10"/>
  <c r="F181" i="10"/>
  <c r="D181" i="10"/>
  <c r="F180" i="10"/>
  <c r="D180" i="10"/>
  <c r="F174" i="10"/>
  <c r="D174" i="10"/>
  <c r="F173" i="10"/>
  <c r="D173" i="10"/>
  <c r="G5" i="10" a="1"/>
  <c r="G5" i="10" s="1"/>
  <c r="F144" i="10"/>
  <c r="D144" i="10"/>
  <c r="F143" i="10"/>
  <c r="F140" i="10"/>
  <c r="D140" i="10"/>
  <c r="F138" i="10"/>
  <c r="D138" i="10"/>
  <c r="F137" i="10"/>
  <c r="D137" i="10"/>
  <c r="F136" i="10"/>
  <c r="F135" i="10"/>
  <c r="D135" i="10"/>
  <c r="F134" i="10"/>
  <c r="D134" i="10"/>
  <c r="F133" i="10"/>
  <c r="D133" i="10"/>
  <c r="F107" i="10"/>
  <c r="F105" i="10"/>
  <c r="F104" i="10"/>
  <c r="F103" i="10"/>
  <c r="F101" i="10"/>
  <c r="D101" i="10"/>
  <c r="F100" i="10"/>
  <c r="D100" i="10"/>
  <c r="F98" i="10"/>
  <c r="F97" i="10"/>
  <c r="F96" i="10"/>
  <c r="F93" i="10"/>
  <c r="D93" i="10"/>
  <c r="I52" i="10" a="1"/>
  <c r="I52" i="10" s="1"/>
  <c r="J52" i="10" s="1"/>
  <c r="F221" i="10"/>
  <c r="F213" i="10"/>
  <c r="F222" i="10"/>
  <c r="F142" i="10"/>
  <c r="F141" i="10"/>
  <c r="F108" i="10"/>
  <c r="F102" i="10"/>
  <c r="F95" i="10"/>
  <c r="F94" i="10"/>
  <c r="J4" i="7" a="1"/>
  <c r="J4" i="7" s="1"/>
  <c r="F212" i="10"/>
  <c r="F172" i="10"/>
  <c r="J3" i="6" a="1"/>
  <c r="J3" i="6" s="1"/>
  <c r="F132" i="10"/>
  <c r="J3" i="5" a="1"/>
  <c r="J3" i="5" s="1"/>
  <c r="F92" i="10"/>
  <c r="J3" i="2" a="1"/>
  <c r="J3" i="2" s="1"/>
  <c r="K3" i="7"/>
  <c r="I3" i="7" l="1"/>
  <c r="G6" i="10" a="1"/>
  <c r="G6" i="10" s="1"/>
  <c r="I53" i="10" a="1"/>
  <c r="I53" i="10" s="1"/>
  <c r="J5" i="7" a="1"/>
  <c r="J5" i="7" s="1"/>
  <c r="I4" i="7"/>
  <c r="I3" i="6"/>
  <c r="J4" i="6" a="1"/>
  <c r="J4" i="6" s="1"/>
  <c r="I3" i="5"/>
  <c r="J4" i="5" a="1"/>
  <c r="J4" i="5" s="1"/>
  <c r="I3" i="2"/>
  <c r="J4" i="2" a="1"/>
  <c r="J4" i="2" s="1"/>
  <c r="K4" i="7"/>
  <c r="K3" i="5"/>
  <c r="K3" i="2"/>
  <c r="K3" i="6"/>
  <c r="G7" i="10" l="1" a="1"/>
  <c r="G7" i="10" s="1"/>
  <c r="G8" i="10" s="1" a="1"/>
  <c r="G8" i="10" s="1"/>
  <c r="I54" i="10" a="1"/>
  <c r="I54" i="10" s="1"/>
  <c r="J54" i="10" s="1"/>
  <c r="I5" i="7"/>
  <c r="J6" i="7" a="1"/>
  <c r="J6" i="7" s="1"/>
  <c r="J5" i="6" a="1"/>
  <c r="J5" i="6" s="1"/>
  <c r="I4" i="6"/>
  <c r="I4" i="5"/>
  <c r="J5" i="5" a="1"/>
  <c r="J5" i="5" s="1"/>
  <c r="I4" i="2"/>
  <c r="J5" i="2" a="1"/>
  <c r="J5" i="2" s="1"/>
  <c r="K5" i="7"/>
  <c r="K4" i="6"/>
  <c r="J53" i="10"/>
  <c r="K4" i="2"/>
  <c r="K4" i="5"/>
  <c r="I55" i="10" l="1" a="1"/>
  <c r="I55" i="10" s="1"/>
  <c r="J55" i="10" s="1"/>
  <c r="G9" i="10" a="1"/>
  <c r="G9" i="10" s="1"/>
  <c r="J7" i="7" a="1"/>
  <c r="J7" i="7" s="1"/>
  <c r="I6" i="7"/>
  <c r="J6" i="6" a="1"/>
  <c r="J6" i="6" s="1"/>
  <c r="I5" i="6"/>
  <c r="I5" i="5"/>
  <c r="J6" i="5" a="1"/>
  <c r="J6" i="5" s="1"/>
  <c r="J7" i="5" s="1" a="1"/>
  <c r="J7" i="5" s="1"/>
  <c r="I5" i="2"/>
  <c r="J6" i="2" a="1"/>
  <c r="J6" i="2" s="1"/>
  <c r="K6" i="7"/>
  <c r="K5" i="6"/>
  <c r="K5" i="2"/>
  <c r="K5" i="5"/>
  <c r="I56" i="10" l="1" a="1"/>
  <c r="I56" i="10" s="1"/>
  <c r="J56" i="10" s="1"/>
  <c r="G10" i="10" a="1"/>
  <c r="G10" i="10" s="1"/>
  <c r="I7" i="7"/>
  <c r="J8" i="7" a="1"/>
  <c r="J8" i="7" s="1"/>
  <c r="I6" i="6"/>
  <c r="J7" i="6" a="1"/>
  <c r="J7" i="6" s="1"/>
  <c r="I6" i="5"/>
  <c r="J8" i="5" a="1"/>
  <c r="J8" i="5" s="1"/>
  <c r="I7" i="5"/>
  <c r="I6" i="2"/>
  <c r="J7" i="2" a="1"/>
  <c r="J7" i="2" s="1"/>
  <c r="K7" i="7"/>
  <c r="K6" i="6"/>
  <c r="K6" i="2"/>
  <c r="K6" i="5"/>
  <c r="K7" i="5"/>
  <c r="G11" i="10" l="1" a="1"/>
  <c r="G11" i="10" s="1"/>
  <c r="I57" i="10" a="1"/>
  <c r="I57" i="10" s="1"/>
  <c r="J57" i="10" s="1"/>
  <c r="I8" i="7"/>
  <c r="J9" i="7" a="1"/>
  <c r="J9" i="7" s="1"/>
  <c r="I7" i="6"/>
  <c r="J8" i="6" a="1"/>
  <c r="J8" i="6" s="1"/>
  <c r="J9" i="5" a="1"/>
  <c r="J9" i="5" s="1"/>
  <c r="I8" i="5"/>
  <c r="I7" i="2"/>
  <c r="J8" i="2" a="1"/>
  <c r="J8" i="2" s="1"/>
  <c r="K8" i="7"/>
  <c r="K7" i="6"/>
  <c r="K8" i="5"/>
  <c r="K7" i="2"/>
  <c r="G12" i="10" l="1" a="1"/>
  <c r="G12" i="10" s="1"/>
  <c r="I58" i="10" a="1"/>
  <c r="I58" i="10" s="1"/>
  <c r="J58" i="10" s="1"/>
  <c r="K9" i="7"/>
  <c r="I9" i="7"/>
  <c r="J10" i="7" a="1"/>
  <c r="J10" i="7" s="1"/>
  <c r="K8" i="6"/>
  <c r="I8" i="6"/>
  <c r="J9" i="6" a="1"/>
  <c r="J9" i="6" s="1"/>
  <c r="I9" i="5"/>
  <c r="J10" i="5" a="1"/>
  <c r="J10" i="5" s="1"/>
  <c r="I8" i="2"/>
  <c r="J9" i="2" a="1"/>
  <c r="J9" i="2" s="1"/>
  <c r="K9" i="5"/>
  <c r="K8" i="2"/>
  <c r="G13" i="10" l="1" a="1"/>
  <c r="G13" i="10" s="1"/>
  <c r="I59" i="10" a="1"/>
  <c r="I59" i="10" s="1"/>
  <c r="I10" i="7"/>
  <c r="K10" i="7"/>
  <c r="J11" i="7" a="1"/>
  <c r="J11" i="7" s="1"/>
  <c r="K9" i="6"/>
  <c r="I9" i="6"/>
  <c r="J10" i="6" a="1"/>
  <c r="J10" i="6" s="1"/>
  <c r="I10" i="5"/>
  <c r="J11" i="5" a="1"/>
  <c r="J11" i="5" s="1"/>
  <c r="I9" i="2"/>
  <c r="K9" i="2"/>
  <c r="J10" i="2" a="1"/>
  <c r="J10" i="2" s="1"/>
  <c r="K10" i="5"/>
  <c r="I60" i="10" l="1" a="1"/>
  <c r="I60" i="10" s="1"/>
  <c r="G14" i="10" a="1"/>
  <c r="G14" i="10" s="1"/>
  <c r="I11" i="7"/>
  <c r="K11" i="7"/>
  <c r="J12" i="7" a="1"/>
  <c r="J12" i="7" s="1"/>
  <c r="K10" i="6"/>
  <c r="I10" i="6"/>
  <c r="J11" i="6" a="1"/>
  <c r="J11" i="6" s="1"/>
  <c r="I11" i="5"/>
  <c r="J12" i="5" a="1"/>
  <c r="J12" i="5" s="1"/>
  <c r="K10" i="2"/>
  <c r="I10" i="2"/>
  <c r="J11" i="2" a="1"/>
  <c r="J11" i="2" s="1"/>
  <c r="J59" i="10"/>
  <c r="K11" i="5"/>
  <c r="I61" i="10" l="1" a="1"/>
  <c r="I61" i="10" s="1"/>
  <c r="G15" i="10" a="1"/>
  <c r="G15" i="10" s="1"/>
  <c r="K12" i="7"/>
  <c r="I12" i="7"/>
  <c r="J13" i="7" a="1"/>
  <c r="J13" i="7" s="1"/>
  <c r="K11" i="6"/>
  <c r="I11" i="6"/>
  <c r="J12" i="6" a="1"/>
  <c r="J12" i="6" s="1"/>
  <c r="I12" i="5"/>
  <c r="J13" i="5" a="1"/>
  <c r="J13" i="5" s="1"/>
  <c r="I11" i="2"/>
  <c r="K11" i="2"/>
  <c r="J12" i="2" a="1"/>
  <c r="J12" i="2" s="1"/>
  <c r="K12" i="5"/>
  <c r="J60" i="10"/>
  <c r="I62" i="10" l="1" a="1"/>
  <c r="I62" i="10" s="1"/>
  <c r="J62" i="10" s="1"/>
  <c r="G16" i="10" a="1"/>
  <c r="G16" i="10" s="1"/>
  <c r="H16" i="10" s="1" a="1"/>
  <c r="H16" i="10" s="1"/>
  <c r="K13" i="7"/>
  <c r="I13" i="7"/>
  <c r="J14" i="7" a="1"/>
  <c r="J14" i="7" s="1"/>
  <c r="K12" i="6"/>
  <c r="I12" i="6"/>
  <c r="J13" i="6" a="1"/>
  <c r="J13" i="6" s="1"/>
  <c r="K13" i="5"/>
  <c r="I13" i="5"/>
  <c r="J14" i="5" a="1"/>
  <c r="J14" i="5" s="1"/>
  <c r="I12" i="2"/>
  <c r="K12" i="2"/>
  <c r="J13" i="2" a="1"/>
  <c r="J13" i="2" s="1"/>
  <c r="J61" i="10"/>
  <c r="I63" i="10" l="1" a="1"/>
  <c r="I63" i="10" s="1"/>
  <c r="G17" i="10" a="1"/>
  <c r="G17" i="10" s="1"/>
  <c r="H17" i="10" s="1" a="1"/>
  <c r="H17" i="10" s="1"/>
  <c r="I14" i="7"/>
  <c r="K14" i="7"/>
  <c r="J15" i="7" a="1"/>
  <c r="J15" i="7" s="1"/>
  <c r="K13" i="6"/>
  <c r="I13" i="6"/>
  <c r="J14" i="6" a="1"/>
  <c r="J14" i="6" s="1"/>
  <c r="I14" i="5"/>
  <c r="K14" i="5"/>
  <c r="J15" i="5" a="1"/>
  <c r="J15" i="5" s="1"/>
  <c r="K13" i="2"/>
  <c r="I13" i="2"/>
  <c r="J14" i="2" a="1"/>
  <c r="J14" i="2" s="1"/>
  <c r="I64" i="10" l="1" a="1"/>
  <c r="I64" i="10" s="1"/>
  <c r="J64" i="10" s="1"/>
  <c r="G18" i="10" a="1"/>
  <c r="G18" i="10" s="1"/>
  <c r="H18" i="10" s="1" a="1"/>
  <c r="H18" i="10" s="1"/>
  <c r="K15" i="7"/>
  <c r="I15" i="7"/>
  <c r="J16" i="7" a="1"/>
  <c r="J16" i="7" s="1"/>
  <c r="I14" i="6"/>
  <c r="K14" i="6"/>
  <c r="J15" i="6" a="1"/>
  <c r="J15" i="6" s="1"/>
  <c r="K15" i="5"/>
  <c r="I15" i="5"/>
  <c r="J16" i="5" a="1"/>
  <c r="J16" i="5" s="1"/>
  <c r="I14" i="2"/>
  <c r="K14" i="2"/>
  <c r="J15" i="2" a="1"/>
  <c r="J15" i="2" s="1"/>
  <c r="J63" i="10"/>
  <c r="I65" i="10" l="1" a="1"/>
  <c r="I65" i="10" s="1"/>
  <c r="J65" i="10" s="1"/>
  <c r="G19" i="10" a="1"/>
  <c r="G19" i="10" s="1"/>
  <c r="H19" i="10" s="1" a="1"/>
  <c r="H19" i="10" s="1"/>
  <c r="K16" i="7"/>
  <c r="I16" i="7"/>
  <c r="J17" i="7" a="1"/>
  <c r="J17" i="7" s="1"/>
  <c r="K15" i="6"/>
  <c r="I15" i="6"/>
  <c r="J16" i="6" a="1"/>
  <c r="J16" i="6" s="1"/>
  <c r="K16" i="5"/>
  <c r="I16" i="5"/>
  <c r="J17" i="5" a="1"/>
  <c r="J17" i="5" s="1"/>
  <c r="K15" i="2"/>
  <c r="I15" i="2"/>
  <c r="J16" i="2" a="1"/>
  <c r="J16" i="2" s="1"/>
  <c r="I66" i="10" l="1" a="1"/>
  <c r="I66" i="10" s="1"/>
  <c r="G20" i="10" a="1"/>
  <c r="G20" i="10" s="1"/>
  <c r="H20" i="10" s="1" a="1"/>
  <c r="H20" i="10" s="1"/>
  <c r="K17" i="7"/>
  <c r="I17" i="7"/>
  <c r="J18" i="7" a="1"/>
  <c r="J18" i="7" s="1"/>
  <c r="K16" i="6"/>
  <c r="I16" i="6"/>
  <c r="J17" i="6" a="1"/>
  <c r="J17" i="6" s="1"/>
  <c r="K17" i="5"/>
  <c r="I17" i="5"/>
  <c r="J18" i="5" a="1"/>
  <c r="J18" i="5" s="1"/>
  <c r="I16" i="2"/>
  <c r="K16" i="2"/>
  <c r="J17" i="2" a="1"/>
  <c r="J17" i="2" s="1"/>
  <c r="H65" i="10" l="1"/>
  <c r="H66" i="10"/>
  <c r="H61" i="10"/>
  <c r="H64" i="10"/>
  <c r="H63" i="10"/>
  <c r="H62" i="10"/>
  <c r="H60" i="10"/>
  <c r="I67" i="10" a="1"/>
  <c r="I67" i="10" s="1"/>
  <c r="J67" i="10" s="1"/>
  <c r="I18" i="7"/>
  <c r="K18" i="7"/>
  <c r="J19" i="7" a="1"/>
  <c r="J19" i="7" s="1"/>
  <c r="K17" i="6"/>
  <c r="I17" i="6"/>
  <c r="J18" i="6" a="1"/>
  <c r="J18" i="6" s="1"/>
  <c r="I18" i="5"/>
  <c r="K18" i="5"/>
  <c r="J19" i="5" a="1"/>
  <c r="J19" i="5" s="1"/>
  <c r="K17" i="2"/>
  <c r="I17" i="2"/>
  <c r="J18" i="2" a="1"/>
  <c r="J18" i="2" s="1"/>
  <c r="J66" i="10"/>
  <c r="I68" i="10" l="1" a="1"/>
  <c r="I68" i="10" s="1"/>
  <c r="H68" i="10" s="1"/>
  <c r="H67" i="10"/>
  <c r="K19" i="7"/>
  <c r="I19" i="7"/>
  <c r="J20" i="7" a="1"/>
  <c r="J20" i="7" s="1"/>
  <c r="K18" i="6"/>
  <c r="I18" i="6"/>
  <c r="J19" i="6" a="1"/>
  <c r="J19" i="6" s="1"/>
  <c r="K19" i="5"/>
  <c r="I19" i="5"/>
  <c r="J20" i="5" a="1"/>
  <c r="J20" i="5" s="1"/>
  <c r="I18" i="2"/>
  <c r="K18" i="2"/>
  <c r="J19" i="2" a="1"/>
  <c r="J19" i="2" s="1"/>
  <c r="I69" i="10" l="1" a="1"/>
  <c r="I69" i="10" s="1"/>
  <c r="H69" i="10" s="1"/>
  <c r="K20" i="7"/>
  <c r="I20" i="7"/>
  <c r="J21" i="7" a="1"/>
  <c r="J21" i="7" s="1"/>
  <c r="K19" i="6"/>
  <c r="I19" i="6"/>
  <c r="J20" i="6" a="1"/>
  <c r="J20" i="6" s="1"/>
  <c r="K20" i="5"/>
  <c r="I20" i="5"/>
  <c r="J21" i="5" a="1"/>
  <c r="J21" i="5" s="1"/>
  <c r="K19" i="2"/>
  <c r="I19" i="2"/>
  <c r="J20" i="2" a="1"/>
  <c r="J20" i="2" s="1"/>
  <c r="J68" i="10"/>
  <c r="I70" i="10" l="1" a="1"/>
  <c r="I70" i="10" s="1"/>
  <c r="I71" i="10" s="1" a="1"/>
  <c r="I71" i="10" s="1"/>
  <c r="H71" i="10" s="1"/>
  <c r="I21" i="7"/>
  <c r="K21" i="7"/>
  <c r="J22" i="7" a="1"/>
  <c r="J22" i="7" s="1"/>
  <c r="K20" i="6"/>
  <c r="I20" i="6"/>
  <c r="J21" i="6" a="1"/>
  <c r="J21" i="6" s="1"/>
  <c r="I21" i="5"/>
  <c r="K21" i="5"/>
  <c r="J22" i="5" a="1"/>
  <c r="J22" i="5" s="1"/>
  <c r="K20" i="2"/>
  <c r="I20" i="2"/>
  <c r="J21" i="2" a="1"/>
  <c r="J21" i="2" s="1"/>
  <c r="J69" i="10"/>
  <c r="H70" i="10" l="1"/>
  <c r="I72" i="10" a="1"/>
  <c r="I72" i="10" s="1"/>
  <c r="I73" i="10" s="1" a="1"/>
  <c r="I73" i="10" s="1"/>
  <c r="K22" i="7"/>
  <c r="I22" i="7"/>
  <c r="J23" i="7" a="1"/>
  <c r="J23" i="7" s="1"/>
  <c r="I21" i="6"/>
  <c r="K21" i="6"/>
  <c r="J22" i="6" a="1"/>
  <c r="J22" i="6" s="1"/>
  <c r="K22" i="5"/>
  <c r="I22" i="5"/>
  <c r="J23" i="5" a="1"/>
  <c r="J23" i="5" s="1"/>
  <c r="I21" i="2"/>
  <c r="K21" i="2"/>
  <c r="J22" i="2" a="1"/>
  <c r="J22" i="2" s="1"/>
  <c r="J71" i="10"/>
  <c r="J70" i="10"/>
  <c r="H72" i="10" l="1"/>
  <c r="I74" i="10" a="1"/>
  <c r="I74" i="10" s="1"/>
  <c r="J73" i="10"/>
  <c r="H73" i="10"/>
  <c r="K23" i="7"/>
  <c r="I23" i="7"/>
  <c r="J24" i="7" a="1"/>
  <c r="J24" i="7" s="1"/>
  <c r="K22" i="6"/>
  <c r="I22" i="6"/>
  <c r="J23" i="6" a="1"/>
  <c r="J23" i="6" s="1"/>
  <c r="K23" i="5"/>
  <c r="I23" i="5"/>
  <c r="J24" i="5" a="1"/>
  <c r="J24" i="5" s="1"/>
  <c r="K22" i="2"/>
  <c r="I22" i="2"/>
  <c r="J23" i="2" a="1"/>
  <c r="J23" i="2" s="1"/>
  <c r="J72" i="10"/>
  <c r="I75" i="10" l="1" a="1"/>
  <c r="I75" i="10" s="1"/>
  <c r="J74" i="10"/>
  <c r="H74" i="10"/>
  <c r="K24" i="7"/>
  <c r="I24" i="7"/>
  <c r="J25" i="7" a="1"/>
  <c r="J25" i="7" s="1"/>
  <c r="K23" i="6"/>
  <c r="I23" i="6"/>
  <c r="J24" i="6" a="1"/>
  <c r="J24" i="6" s="1"/>
  <c r="I24" i="5"/>
  <c r="K24" i="5"/>
  <c r="J25" i="5" a="1"/>
  <c r="J25" i="5" s="1"/>
  <c r="I23" i="2"/>
  <c r="K23" i="2"/>
  <c r="J24" i="2" a="1"/>
  <c r="J24" i="2" s="1"/>
  <c r="I76" i="10" l="1" a="1"/>
  <c r="I76" i="10" s="1"/>
  <c r="J75" i="10"/>
  <c r="H75" i="10"/>
  <c r="I25" i="7"/>
  <c r="K25" i="7"/>
  <c r="J26" i="7" a="1"/>
  <c r="J26" i="7" s="1"/>
  <c r="K24" i="6"/>
  <c r="I24" i="6"/>
  <c r="J25" i="6" a="1"/>
  <c r="J25" i="6" s="1"/>
  <c r="I25" i="5"/>
  <c r="K25" i="5"/>
  <c r="J26" i="5" a="1"/>
  <c r="J26" i="5" s="1"/>
  <c r="K24" i="2"/>
  <c r="I24" i="2"/>
  <c r="J25" i="2" a="1"/>
  <c r="J25" i="2" s="1"/>
  <c r="I77" i="10" l="1" a="1"/>
  <c r="I77" i="10" s="1"/>
  <c r="J76" i="10"/>
  <c r="H76" i="10"/>
  <c r="I26" i="7"/>
  <c r="K26" i="7"/>
  <c r="J27" i="7" a="1"/>
  <c r="J27" i="7" s="1"/>
  <c r="K25" i="6"/>
  <c r="I25" i="6"/>
  <c r="J26" i="6" a="1"/>
  <c r="J26" i="6" s="1"/>
  <c r="I26" i="5"/>
  <c r="K26" i="5"/>
  <c r="J27" i="5" a="1"/>
  <c r="J27" i="5" s="1"/>
  <c r="K25" i="2"/>
  <c r="I25" i="2"/>
  <c r="J26" i="2" a="1"/>
  <c r="J26" i="2" s="1"/>
  <c r="I78" i="10" l="1" a="1"/>
  <c r="I78" i="10" s="1"/>
  <c r="H77" i="10"/>
  <c r="J77" i="10"/>
  <c r="K27" i="7"/>
  <c r="I27" i="7"/>
  <c r="J28" i="7" a="1"/>
  <c r="J28" i="7" s="1"/>
  <c r="K26" i="6"/>
  <c r="I26" i="6"/>
  <c r="J27" i="6" a="1"/>
  <c r="J27" i="6" s="1"/>
  <c r="K27" i="5"/>
  <c r="I27" i="5"/>
  <c r="J28" i="5" a="1"/>
  <c r="J28" i="5" s="1"/>
  <c r="K26" i="2"/>
  <c r="I26" i="2"/>
  <c r="J27" i="2" a="1"/>
  <c r="J27" i="2" s="1"/>
  <c r="I79" i="10" l="1" a="1"/>
  <c r="I79" i="10" s="1"/>
  <c r="J78" i="10"/>
  <c r="H78" i="10"/>
  <c r="I28" i="7"/>
  <c r="K28" i="7"/>
  <c r="J29" i="7" a="1"/>
  <c r="J29" i="7" s="1"/>
  <c r="K27" i="6"/>
  <c r="I27" i="6"/>
  <c r="J28" i="6" a="1"/>
  <c r="J28" i="6" s="1"/>
  <c r="K28" i="5"/>
  <c r="I28" i="5"/>
  <c r="J29" i="5" a="1"/>
  <c r="J29" i="5" s="1"/>
  <c r="K27" i="2"/>
  <c r="I27" i="2"/>
  <c r="J28" i="2" a="1"/>
  <c r="J28" i="2" s="1"/>
  <c r="I80" i="10" l="1" a="1"/>
  <c r="I80" i="10" s="1"/>
  <c r="H79" i="10"/>
  <c r="J79" i="10"/>
  <c r="K29" i="7"/>
  <c r="I29" i="7"/>
  <c r="J30" i="7" a="1"/>
  <c r="J30" i="7" s="1"/>
  <c r="I28" i="6"/>
  <c r="K28" i="6"/>
  <c r="J29" i="6" a="1"/>
  <c r="J29" i="6" s="1"/>
  <c r="K29" i="5"/>
  <c r="I29" i="5"/>
  <c r="J30" i="5" a="1"/>
  <c r="J30" i="5" s="1"/>
  <c r="I28" i="2"/>
  <c r="K28" i="2"/>
  <c r="J29" i="2" a="1"/>
  <c r="J29" i="2" s="1"/>
  <c r="I81" i="10" l="1" a="1"/>
  <c r="I81" i="10" s="1"/>
  <c r="J80" i="10"/>
  <c r="H80" i="10"/>
  <c r="K30" i="7"/>
  <c r="I30" i="7"/>
  <c r="J31" i="7" a="1"/>
  <c r="J31" i="7" s="1"/>
  <c r="K29" i="6"/>
  <c r="I29" i="6"/>
  <c r="J30" i="6" a="1"/>
  <c r="J30" i="6" s="1"/>
  <c r="K30" i="5"/>
  <c r="I30" i="5"/>
  <c r="J31" i="5" a="1"/>
  <c r="J31" i="5" s="1"/>
  <c r="K29" i="2"/>
  <c r="I29" i="2"/>
  <c r="J30" i="2" a="1"/>
  <c r="J30" i="2" s="1"/>
  <c r="I82" i="10" l="1" a="1"/>
  <c r="I82" i="10" s="1"/>
  <c r="H81" i="10"/>
  <c r="J81" i="10"/>
  <c r="K31" i="7"/>
  <c r="I31" i="7"/>
  <c r="J32" i="7" a="1"/>
  <c r="J32" i="7" s="1"/>
  <c r="K30" i="6"/>
  <c r="I30" i="6"/>
  <c r="J31" i="6" a="1"/>
  <c r="J31" i="6" s="1"/>
  <c r="K31" i="5"/>
  <c r="I31" i="5"/>
  <c r="J32" i="5" a="1"/>
  <c r="J32" i="5" s="1"/>
  <c r="I30" i="2"/>
  <c r="K30" i="2"/>
  <c r="J31" i="2" a="1"/>
  <c r="J31" i="2" s="1"/>
  <c r="I83" i="10" l="1" a="1"/>
  <c r="I83" i="10" s="1"/>
  <c r="J82" i="10"/>
  <c r="H82" i="10"/>
  <c r="K32" i="7"/>
  <c r="I32" i="7"/>
  <c r="J33" i="7" a="1"/>
  <c r="J33" i="7" s="1"/>
  <c r="K31" i="6"/>
  <c r="I31" i="6"/>
  <c r="J32" i="6" a="1"/>
  <c r="J32" i="6" s="1"/>
  <c r="K32" i="5"/>
  <c r="I32" i="5"/>
  <c r="J33" i="5" a="1"/>
  <c r="J33" i="5" s="1"/>
  <c r="K31" i="2"/>
  <c r="I31" i="2"/>
  <c r="J32" i="2" a="1"/>
  <c r="J32" i="2" s="1"/>
  <c r="I84" i="10" l="1" a="1"/>
  <c r="I84" i="10" s="1"/>
  <c r="J83" i="10"/>
  <c r="H83" i="10"/>
  <c r="K33" i="7"/>
  <c r="I33" i="7"/>
  <c r="J34" i="7" a="1"/>
  <c r="J34" i="7" s="1"/>
  <c r="K32" i="6"/>
  <c r="I32" i="6"/>
  <c r="J33" i="6" a="1"/>
  <c r="J33" i="6" s="1"/>
  <c r="K33" i="5"/>
  <c r="I33" i="5"/>
  <c r="J34" i="5" a="1"/>
  <c r="J34" i="5" s="1"/>
  <c r="K32" i="2"/>
  <c r="I32" i="2"/>
  <c r="J33" i="2" a="1"/>
  <c r="J33" i="2" s="1"/>
  <c r="I85" i="10" l="1" a="1"/>
  <c r="I85" i="10" s="1"/>
  <c r="H84" i="10"/>
  <c r="J84" i="10"/>
  <c r="K34" i="7"/>
  <c r="I34" i="7"/>
  <c r="J35" i="7" a="1"/>
  <c r="J35" i="7" s="1"/>
  <c r="K33" i="6"/>
  <c r="I33" i="6"/>
  <c r="J34" i="6" a="1"/>
  <c r="J34" i="6" s="1"/>
  <c r="K34" i="5"/>
  <c r="I34" i="5"/>
  <c r="J35" i="5" a="1"/>
  <c r="J35" i="5" s="1"/>
  <c r="K33" i="2"/>
  <c r="I33" i="2"/>
  <c r="J34" i="2" a="1"/>
  <c r="J34" i="2" s="1"/>
  <c r="I86" i="10" l="1" a="1"/>
  <c r="I86" i="10" s="1"/>
  <c r="J85" i="10"/>
  <c r="H85" i="10"/>
  <c r="I35" i="7"/>
  <c r="K35" i="7"/>
  <c r="J36" i="7" a="1"/>
  <c r="J36" i="7" s="1"/>
  <c r="K34" i="6"/>
  <c r="I34" i="6"/>
  <c r="J35" i="6" a="1"/>
  <c r="J35" i="6" s="1"/>
  <c r="I35" i="5"/>
  <c r="K35" i="5"/>
  <c r="J36" i="5" a="1"/>
  <c r="J36" i="5" s="1"/>
  <c r="K34" i="2"/>
  <c r="I34" i="2"/>
  <c r="J35" i="2" a="1"/>
  <c r="J35" i="2" s="1"/>
  <c r="I87" i="10" l="1" a="1"/>
  <c r="I87" i="10" s="1"/>
  <c r="H86" i="10"/>
  <c r="J86" i="10"/>
  <c r="K36" i="7"/>
  <c r="I36" i="7"/>
  <c r="J37" i="7" a="1"/>
  <c r="J37" i="7" s="1"/>
  <c r="I35" i="6"/>
  <c r="K35" i="6"/>
  <c r="J36" i="6" a="1"/>
  <c r="J36" i="6" s="1"/>
  <c r="K36" i="5"/>
  <c r="I36" i="5"/>
  <c r="J37" i="5" a="1"/>
  <c r="J37" i="5" s="1"/>
  <c r="I35" i="2"/>
  <c r="K35" i="2"/>
  <c r="J36" i="2" a="1"/>
  <c r="J36" i="2" s="1"/>
  <c r="I88" i="10" l="1" a="1"/>
  <c r="I88" i="10" s="1"/>
  <c r="J87" i="10"/>
  <c r="H87" i="10"/>
  <c r="K37" i="7"/>
  <c r="I37" i="7"/>
  <c r="J38" i="7" a="1"/>
  <c r="J38" i="7" s="1"/>
  <c r="K36" i="6"/>
  <c r="I36" i="6"/>
  <c r="J37" i="6" a="1"/>
  <c r="J37" i="6" s="1"/>
  <c r="K37" i="5"/>
  <c r="I37" i="5"/>
  <c r="J38" i="5" a="1"/>
  <c r="J38" i="5" s="1"/>
  <c r="K36" i="2"/>
  <c r="I36" i="2"/>
  <c r="J37" i="2" a="1"/>
  <c r="J37" i="2" s="1"/>
  <c r="I89" i="10" l="1" a="1"/>
  <c r="I89" i="10" s="1"/>
  <c r="H88" i="10"/>
  <c r="J88" i="10"/>
  <c r="K38" i="7"/>
  <c r="I38" i="7"/>
  <c r="J39" i="7" a="1"/>
  <c r="J39" i="7" s="1"/>
  <c r="K37" i="6"/>
  <c r="I37" i="6"/>
  <c r="J38" i="6" a="1"/>
  <c r="J38" i="6" s="1"/>
  <c r="K38" i="5"/>
  <c r="I38" i="5"/>
  <c r="J39" i="5" a="1"/>
  <c r="J39" i="5" s="1"/>
  <c r="K37" i="2"/>
  <c r="I37" i="2"/>
  <c r="J38" i="2" a="1"/>
  <c r="J38" i="2" s="1"/>
  <c r="J89" i="10" l="1"/>
  <c r="H89" i="10"/>
  <c r="K39" i="7"/>
  <c r="I39" i="7"/>
  <c r="J40" i="7" a="1"/>
  <c r="J40" i="7" s="1"/>
  <c r="K38" i="6"/>
  <c r="I38" i="6"/>
  <c r="J39" i="6" a="1"/>
  <c r="J39" i="6" s="1"/>
  <c r="K39" i="5"/>
  <c r="I39" i="5"/>
  <c r="J40" i="5" a="1"/>
  <c r="J40" i="5" s="1"/>
  <c r="K38" i="2"/>
  <c r="I38" i="2"/>
  <c r="J39" i="2" a="1"/>
  <c r="J39" i="2" s="1"/>
  <c r="K40" i="7" l="1"/>
  <c r="I40" i="7"/>
  <c r="K39" i="6"/>
  <c r="I39" i="6"/>
  <c r="J40" i="6" a="1"/>
  <c r="J40" i="6" s="1"/>
  <c r="K40" i="5"/>
  <c r="I40" i="5"/>
  <c r="K39" i="2"/>
  <c r="I39" i="2"/>
  <c r="J40" i="2" a="1"/>
  <c r="J40" i="2" s="1"/>
  <c r="K40" i="6" l="1"/>
  <c r="I40" i="6"/>
  <c r="K40" i="2"/>
  <c r="I40" i="2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86" i="10" s="1"/>
  <c r="D38" i="1"/>
  <c r="D87" i="10" s="1"/>
  <c r="D39" i="1"/>
  <c r="D40" i="1"/>
  <c r="F31" i="1" l="1"/>
  <c r="F80" i="10" s="1"/>
  <c r="D80" i="10"/>
  <c r="F40" i="1"/>
  <c r="F89" i="10" s="1"/>
  <c r="D89" i="10"/>
  <c r="F39" i="1"/>
  <c r="F88" i="10" s="1"/>
  <c r="D88" i="10"/>
  <c r="F27" i="1"/>
  <c r="F76" i="10" s="1"/>
  <c r="D76" i="10"/>
  <c r="F32" i="1"/>
  <c r="F81" i="10" s="1"/>
  <c r="D81" i="10"/>
  <c r="F29" i="1"/>
  <c r="F78" i="10" s="1"/>
  <c r="D78" i="10"/>
  <c r="F24" i="1"/>
  <c r="F73" i="10" s="1"/>
  <c r="D73" i="10"/>
  <c r="F28" i="1"/>
  <c r="F77" i="10" s="1"/>
  <c r="D77" i="10"/>
  <c r="F26" i="1"/>
  <c r="F75" i="10" s="1"/>
  <c r="D75" i="10"/>
  <c r="F36" i="1"/>
  <c r="F85" i="10" s="1"/>
  <c r="D85" i="10"/>
  <c r="F23" i="1"/>
  <c r="F72" i="10" s="1"/>
  <c r="D72" i="10"/>
  <c r="F25" i="1"/>
  <c r="F74" i="10" s="1"/>
  <c r="D74" i="10"/>
  <c r="F35" i="1"/>
  <c r="F84" i="10" s="1"/>
  <c r="D84" i="10"/>
  <c r="F34" i="1"/>
  <c r="F83" i="10" s="1"/>
  <c r="D83" i="10"/>
  <c r="F22" i="1"/>
  <c r="F71" i="10" s="1"/>
  <c r="D71" i="10"/>
  <c r="F38" i="1"/>
  <c r="F87" i="10" s="1"/>
  <c r="F30" i="1"/>
  <c r="F79" i="10" s="1"/>
  <c r="D79" i="10"/>
  <c r="F33" i="1"/>
  <c r="F82" i="10" s="1"/>
  <c r="D82" i="10"/>
  <c r="F21" i="1"/>
  <c r="F70" i="10" s="1"/>
  <c r="D70" i="10"/>
  <c r="F37" i="1"/>
  <c r="F86" i="10" s="1"/>
  <c r="F13" i="1"/>
  <c r="F62" i="10" s="1"/>
  <c r="D62" i="10"/>
  <c r="F12" i="1"/>
  <c r="F61" i="10" s="1"/>
  <c r="D61" i="10"/>
  <c r="F17" i="1"/>
  <c r="F66" i="10" s="1"/>
  <c r="D66" i="10"/>
  <c r="F16" i="1"/>
  <c r="F65" i="10" s="1"/>
  <c r="D65" i="10"/>
  <c r="F15" i="1"/>
  <c r="F64" i="10" s="1"/>
  <c r="D64" i="10"/>
  <c r="F14" i="1"/>
  <c r="F63" i="10" s="1"/>
  <c r="D63" i="10"/>
  <c r="F11" i="1"/>
  <c r="F60" i="10" s="1"/>
  <c r="D60" i="10"/>
  <c r="F20" i="1"/>
  <c r="F69" i="10" s="1"/>
  <c r="D69" i="10"/>
  <c r="F19" i="1"/>
  <c r="F68" i="10" s="1"/>
  <c r="D68" i="10"/>
  <c r="F18" i="1"/>
  <c r="F67" i="10" s="1"/>
  <c r="D67" i="10"/>
  <c r="D10" i="1"/>
  <c r="D9" i="1"/>
  <c r="D8" i="1"/>
  <c r="D7" i="1"/>
  <c r="D6" i="1"/>
  <c r="D5" i="1"/>
  <c r="D4" i="1"/>
  <c r="J3" i="1" a="1"/>
  <c r="J3" i="1" s="1"/>
  <c r="F3" i="1"/>
  <c r="F52" i="10" s="1"/>
  <c r="F8" i="1" l="1"/>
  <c r="F57" i="10" s="1"/>
  <c r="D57" i="10"/>
  <c r="F7" i="1"/>
  <c r="F56" i="10" s="1"/>
  <c r="D56" i="10"/>
  <c r="F9" i="1"/>
  <c r="F58" i="10" s="1"/>
  <c r="D58" i="10"/>
  <c r="F4" i="1"/>
  <c r="F53" i="10" s="1"/>
  <c r="D53" i="10"/>
  <c r="F10" i="1"/>
  <c r="F59" i="10" s="1"/>
  <c r="D59" i="10"/>
  <c r="F5" i="1"/>
  <c r="F54" i="10" s="1"/>
  <c r="D54" i="10"/>
  <c r="F6" i="1"/>
  <c r="F55" i="10" s="1"/>
  <c r="D55" i="10"/>
  <c r="I3" i="1"/>
  <c r="J4" i="1" a="1"/>
  <c r="J4" i="1" s="1"/>
  <c r="D41" i="2"/>
  <c r="D130" i="10" s="1"/>
  <c r="K3" i="1"/>
  <c r="I4" i="1" l="1"/>
  <c r="J5" i="1" a="1"/>
  <c r="J5" i="1" s="1"/>
  <c r="J6" i="1" s="1" a="1"/>
  <c r="J6" i="1" s="1"/>
  <c r="K4" i="1"/>
  <c r="I5" i="1" l="1"/>
  <c r="I6" i="1"/>
  <c r="J7" i="1" a="1"/>
  <c r="J7" i="1" s="1"/>
  <c r="K6" i="1"/>
  <c r="K5" i="1"/>
  <c r="J8" i="1" l="1" a="1"/>
  <c r="J8" i="1" s="1"/>
  <c r="J9" i="1" s="1" a="1"/>
  <c r="J9" i="1" s="1"/>
  <c r="I7" i="1"/>
  <c r="K7" i="1"/>
  <c r="I9" i="1" l="1"/>
  <c r="I8" i="1"/>
  <c r="J10" i="1" a="1"/>
  <c r="J10" i="1" s="1"/>
  <c r="J11" i="1" s="1" a="1"/>
  <c r="J11" i="1" s="1"/>
  <c r="K9" i="1"/>
  <c r="K8" i="1"/>
  <c r="I11" i="1" l="1"/>
  <c r="I10" i="1"/>
  <c r="J12" i="1" a="1"/>
  <c r="J12" i="1" s="1"/>
  <c r="J13" i="1" s="1" a="1"/>
  <c r="J13" i="1" s="1"/>
  <c r="K11" i="1"/>
  <c r="K10" i="1"/>
  <c r="K13" i="1" l="1"/>
  <c r="I13" i="1"/>
  <c r="J14" i="1" a="1"/>
  <c r="J14" i="1" s="1"/>
  <c r="K12" i="1"/>
  <c r="I12" i="1"/>
  <c r="K14" i="1" l="1"/>
  <c r="I14" i="1"/>
  <c r="J15" i="1" a="1"/>
  <c r="J15" i="1" s="1"/>
  <c r="K54" i="1"/>
  <c r="K15" i="1" l="1"/>
  <c r="I15" i="1"/>
  <c r="J16" i="1" a="1"/>
  <c r="J16" i="1" s="1"/>
  <c r="K16" i="1" l="1"/>
  <c r="I16" i="1"/>
  <c r="J17" i="1" a="1"/>
  <c r="J17" i="1" s="1"/>
  <c r="K17" i="1" l="1"/>
  <c r="I17" i="1"/>
  <c r="J18" i="1" a="1"/>
  <c r="J18" i="1" s="1"/>
  <c r="K18" i="1" l="1"/>
  <c r="I18" i="1"/>
  <c r="J19" i="1" a="1"/>
  <c r="J19" i="1" s="1"/>
  <c r="K19" i="1" l="1"/>
  <c r="I19" i="1"/>
  <c r="J20" i="1" a="1"/>
  <c r="J20" i="1" s="1"/>
  <c r="K20" i="1" l="1"/>
  <c r="I20" i="1"/>
  <c r="J21" i="1" a="1"/>
  <c r="J21" i="1" s="1"/>
  <c r="K21" i="1" l="1"/>
  <c r="I21" i="1"/>
  <c r="J22" i="1" a="1"/>
  <c r="J22" i="1" s="1"/>
  <c r="K22" i="1" l="1"/>
  <c r="I22" i="1"/>
  <c r="J23" i="1" a="1"/>
  <c r="J23" i="1" s="1"/>
  <c r="K23" i="1" l="1"/>
  <c r="I23" i="1"/>
  <c r="J24" i="1" a="1"/>
  <c r="J24" i="1" s="1"/>
  <c r="K24" i="1" l="1"/>
  <c r="I24" i="1"/>
  <c r="J25" i="1" a="1"/>
  <c r="J25" i="1" s="1"/>
  <c r="K25" i="1" l="1"/>
  <c r="I25" i="1"/>
  <c r="J26" i="1" a="1"/>
  <c r="J26" i="1" s="1"/>
  <c r="K26" i="1" l="1"/>
  <c r="I26" i="1"/>
  <c r="J27" i="1" a="1"/>
  <c r="J27" i="1" s="1"/>
  <c r="K27" i="1" l="1"/>
  <c r="I27" i="1"/>
  <c r="J28" i="1" a="1"/>
  <c r="J28" i="1" s="1"/>
  <c r="K28" i="1" l="1"/>
  <c r="I28" i="1"/>
  <c r="J29" i="1" a="1"/>
  <c r="J29" i="1" s="1"/>
  <c r="K29" i="1" l="1"/>
  <c r="I29" i="1"/>
  <c r="J30" i="1" a="1"/>
  <c r="J30" i="1" s="1"/>
  <c r="K30" i="1" l="1"/>
  <c r="I30" i="1"/>
  <c r="J31" i="1" a="1"/>
  <c r="J31" i="1" s="1"/>
  <c r="K31" i="1" l="1"/>
  <c r="I31" i="1"/>
  <c r="J32" i="1" a="1"/>
  <c r="J32" i="1" s="1"/>
  <c r="K32" i="1" l="1"/>
  <c r="I32" i="1"/>
  <c r="J33" i="1" a="1"/>
  <c r="J33" i="1" s="1"/>
  <c r="K33" i="1" l="1"/>
  <c r="I33" i="1"/>
  <c r="J34" i="1" a="1"/>
  <c r="J34" i="1" s="1"/>
  <c r="K34" i="1" l="1"/>
  <c r="I34" i="1"/>
  <c r="J35" i="1" a="1"/>
  <c r="J35" i="1" s="1"/>
  <c r="K35" i="1" l="1"/>
  <c r="I35" i="1"/>
  <c r="J36" i="1" a="1"/>
  <c r="J36" i="1" s="1"/>
  <c r="K36" i="1" l="1"/>
  <c r="I36" i="1"/>
  <c r="J37" i="1" a="1"/>
  <c r="J37" i="1" s="1"/>
  <c r="K37" i="1" l="1"/>
  <c r="I37" i="1"/>
  <c r="J38" i="1" a="1"/>
  <c r="J38" i="1" s="1"/>
  <c r="K38" i="1" l="1"/>
  <c r="I38" i="1"/>
  <c r="J39" i="1" a="1"/>
  <c r="J39" i="1" s="1"/>
  <c r="K39" i="1" l="1"/>
  <c r="I39" i="1"/>
  <c r="J40" i="1" a="1"/>
  <c r="J40" i="1" s="1"/>
  <c r="K40" i="1" l="1"/>
  <c r="I40" i="1"/>
  <c r="E1" i="6" l="1"/>
  <c r="E1" i="7" l="1"/>
  <c r="E1" i="1" l="1"/>
  <c r="H1" i="1" s="1"/>
  <c r="E1" i="2"/>
  <c r="E1" i="5"/>
  <c r="H1" i="2" l="1"/>
  <c r="H1" i="5" s="1"/>
  <c r="H1" i="6" s="1"/>
  <c r="H1" i="7" s="1"/>
  <c r="H1" i="10" s="1"/>
  <c r="H56" i="10"/>
  <c r="H59" i="10"/>
  <c r="H58" i="10"/>
  <c r="H53" i="10"/>
  <c r="H52" i="10"/>
  <c r="H55" i="10"/>
  <c r="H54" i="10"/>
  <c r="H57" i="10"/>
  <c r="H9" i="10" a="1"/>
  <c r="H9" i="10" s="1"/>
  <c r="H13" i="10" a="1"/>
  <c r="H13" i="10" s="1"/>
  <c r="H15" i="10" a="1"/>
  <c r="H15" i="10" s="1"/>
  <c r="H8" i="10" a="1"/>
  <c r="H8" i="10" s="1"/>
  <c r="H4" i="10" a="1"/>
  <c r="H4" i="10" s="1"/>
  <c r="H10" i="10" a="1"/>
  <c r="H10" i="10" s="1"/>
  <c r="H5" i="10" a="1"/>
  <c r="H5" i="10" s="1"/>
  <c r="H11" i="10" a="1"/>
  <c r="H11" i="10" s="1"/>
  <c r="H12" i="10" a="1"/>
  <c r="H12" i="10" s="1"/>
  <c r="H6" i="10" a="1"/>
  <c r="H6" i="10" s="1"/>
  <c r="H7" i="10" a="1"/>
  <c r="H7" i="10" s="1"/>
  <c r="H3" i="10" a="1"/>
  <c r="H3" i="10" s="1"/>
  <c r="H14" i="10" a="1"/>
  <c r="H14" i="10" s="1"/>
  <c r="H22" i="10" l="1" a="1"/>
  <c r="H22" i="10" s="1"/>
  <c r="I23" i="10" l="1" a="1"/>
  <c r="I23" i="10" s="1"/>
  <c r="H23" i="10" l="1" a="1"/>
  <c r="H23" i="10" s="1"/>
  <c r="J23" i="10"/>
  <c r="I24" i="10" l="1" a="1"/>
  <c r="I24" i="10" s="1"/>
  <c r="H24" i="10" l="1" a="1"/>
  <c r="H24" i="10" s="1"/>
  <c r="J24" i="10"/>
  <c r="I25" i="10" l="1" a="1"/>
  <c r="I25" i="10" s="1"/>
  <c r="J25" i="10" l="1"/>
  <c r="H25" i="10" a="1"/>
  <c r="H25" i="10" s="1"/>
  <c r="I26" i="10" l="1" a="1"/>
  <c r="I26" i="10" s="1"/>
  <c r="H26" i="10" l="1" a="1"/>
  <c r="H26" i="10" s="1"/>
  <c r="J26" i="10"/>
  <c r="I27" i="10" l="1" a="1"/>
  <c r="I27" i="10" s="1"/>
  <c r="J27" i="10" l="1"/>
  <c r="H27" i="10" a="1"/>
  <c r="H27" i="10" s="1"/>
  <c r="I28" i="10" a="1"/>
  <c r="I28" i="10" s="1"/>
  <c r="H28" i="10" l="1" a="1"/>
  <c r="H28" i="10" s="1"/>
  <c r="J28" i="10"/>
  <c r="I29" i="10" a="1"/>
  <c r="I29" i="10" s="1"/>
  <c r="H29" i="10" l="1" a="1"/>
  <c r="H29" i="10" s="1"/>
  <c r="J29" i="10"/>
  <c r="I30" i="10" a="1"/>
  <c r="I30" i="10" s="1"/>
  <c r="J30" i="10" l="1"/>
  <c r="H30" i="10" a="1"/>
  <c r="H30" i="10" s="1"/>
  <c r="I31" i="10" a="1"/>
  <c r="I31" i="10" s="1"/>
  <c r="J31" i="10" l="1"/>
  <c r="H31" i="10" a="1"/>
  <c r="H31" i="10" s="1"/>
  <c r="I32" i="10" a="1"/>
  <c r="I32" i="10" s="1"/>
  <c r="J32" i="10" l="1"/>
  <c r="H32" i="10" a="1"/>
  <c r="H32" i="10" s="1"/>
  <c r="I33" i="10" a="1"/>
  <c r="I33" i="10" s="1"/>
  <c r="J33" i="10" l="1"/>
  <c r="H33" i="10" a="1"/>
  <c r="H33" i="10" s="1"/>
  <c r="I34" i="10" a="1"/>
  <c r="I34" i="10" s="1"/>
  <c r="H34" i="10" l="1" a="1"/>
  <c r="H34" i="10" s="1"/>
  <c r="J34" i="10"/>
  <c r="I35" i="10" a="1"/>
  <c r="I35" i="10" s="1"/>
  <c r="H35" i="10" l="1" a="1"/>
  <c r="H35" i="10" s="1"/>
  <c r="J35" i="10"/>
  <c r="I36" i="10" a="1"/>
  <c r="I36" i="10" s="1"/>
  <c r="J36" i="10" l="1"/>
  <c r="H36" i="10" a="1"/>
  <c r="H36" i="10" s="1"/>
  <c r="I37" i="10" a="1"/>
  <c r="I37" i="10" s="1"/>
  <c r="H37" i="10" l="1" a="1"/>
  <c r="H37" i="10" s="1"/>
  <c r="J37" i="10"/>
  <c r="I38" i="10" a="1"/>
  <c r="I38" i="10" s="1"/>
  <c r="H38" i="10" l="1" a="1"/>
  <c r="H38" i="10" s="1"/>
  <c r="J38" i="10"/>
  <c r="I39" i="10" a="1"/>
  <c r="I39" i="10" s="1"/>
  <c r="J39" i="10" l="1"/>
  <c r="H39" i="10" a="1"/>
  <c r="H39" i="10" s="1"/>
  <c r="I40" i="10" a="1"/>
  <c r="I40" i="10" s="1"/>
  <c r="H40" i="10" l="1" a="1"/>
  <c r="H40" i="10" s="1"/>
  <c r="J40" i="10"/>
  <c r="I41" i="10" a="1"/>
  <c r="I41" i="10" s="1"/>
  <c r="J41" i="10" l="1"/>
  <c r="H41" i="10" a="1"/>
  <c r="H41" i="10" s="1"/>
  <c r="I42" i="10" a="1"/>
  <c r="I42" i="10" s="1"/>
  <c r="H42" i="10" l="1" a="1"/>
  <c r="H42" i="10" s="1"/>
  <c r="J42" i="10"/>
  <c r="I43" i="10" a="1"/>
  <c r="I43" i="10" s="1"/>
  <c r="H43" i="10" l="1" a="1"/>
  <c r="H43" i="10" s="1"/>
  <c r="J43" i="10"/>
  <c r="I44" i="10" a="1"/>
  <c r="I44" i="10" s="1"/>
  <c r="J44" i="10" l="1"/>
  <c r="H44" i="10" a="1"/>
  <c r="H44" i="10" s="1"/>
  <c r="I45" i="10" a="1"/>
  <c r="I45" i="10" s="1"/>
  <c r="H45" i="10" l="1" a="1"/>
  <c r="H45" i="10" s="1"/>
  <c r="J45" i="10"/>
  <c r="I46" i="10" a="1"/>
  <c r="I46" i="10" s="1"/>
  <c r="J46" i="10" l="1"/>
  <c r="H46" i="10" a="1"/>
  <c r="H46" i="10" s="1"/>
  <c r="I47" i="10" a="1"/>
  <c r="I47" i="10" s="1"/>
  <c r="H47" i="10" l="1" a="1"/>
  <c r="H47" i="10" s="1"/>
  <c r="J47" i="10"/>
  <c r="I48" i="10" a="1"/>
  <c r="I48" i="10" s="1"/>
  <c r="H48" i="10" l="1" a="1"/>
  <c r="H48" i="10" s="1"/>
  <c r="J48" i="10"/>
  <c r="I49" i="10" a="1"/>
  <c r="I49" i="10" s="1"/>
  <c r="H49" i="10" l="1" a="1"/>
  <c r="H49" i="10" s="1"/>
  <c r="J49" i="10"/>
  <c r="I50" i="10" a="1"/>
  <c r="I50" i="10" s="1"/>
  <c r="H50" i="10" l="1" a="1"/>
  <c r="H50" i="10" s="1"/>
  <c r="J50" i="10"/>
</calcChain>
</file>

<file path=xl/sharedStrings.xml><?xml version="1.0" encoding="utf-8"?>
<sst xmlns="http://schemas.openxmlformats.org/spreadsheetml/2006/main" count="124" uniqueCount="51">
  <si>
    <t>Begin</t>
  </si>
  <si>
    <t>End</t>
  </si>
  <si>
    <t>Time</t>
  </si>
  <si>
    <t>Notes</t>
  </si>
  <si>
    <t>Track ID</t>
  </si>
  <si>
    <t>Client</t>
  </si>
  <si>
    <t>Task</t>
  </si>
  <si>
    <t>Assigned By</t>
  </si>
  <si>
    <t>Mentor</t>
  </si>
  <si>
    <t>Date Assigned</t>
  </si>
  <si>
    <t>Date Due</t>
  </si>
  <si>
    <t>LOE</t>
  </si>
  <si>
    <t>LOE to Date</t>
  </si>
  <si>
    <t>Comments</t>
  </si>
  <si>
    <t>SlNo</t>
  </si>
  <si>
    <t>To Do:</t>
  </si>
  <si>
    <t>Create drop down for tracks with Vlookup</t>
  </si>
  <si>
    <t>Insert present time toggle?(part of "add new track"; with hotkey!)</t>
  </si>
  <si>
    <t>Add in totals for tracks to trackid's (front page)</t>
  </si>
  <si>
    <t>automatic total, per track (for each day)</t>
  </si>
  <si>
    <t>Create Template and Batch File to generate files for each week</t>
  </si>
  <si>
    <t>Title and track Id should be realted somehow, so one can enter one and the other will be populated</t>
  </si>
  <si>
    <t>Macro</t>
  </si>
  <si>
    <t>Manual</t>
  </si>
  <si>
    <t>Then Macro</t>
  </si>
  <si>
    <t>ctrl + Shift + ;</t>
  </si>
  <si>
    <t>Manual then</t>
  </si>
  <si>
    <t>Summation should round off time to nearest quarter hour</t>
  </si>
  <si>
    <t>Internal Notes</t>
  </si>
  <si>
    <t>Default Proj</t>
  </si>
  <si>
    <t>MACRO LIST:</t>
  </si>
  <si>
    <t>Formula:</t>
  </si>
  <si>
    <t>Lookup Default Client, Project</t>
  </si>
  <si>
    <t>Validate Client, project from drop down</t>
  </si>
  <si>
    <t>bat program</t>
  </si>
  <si>
    <t>Create new file</t>
  </si>
  <si>
    <t>new row (taking present time)</t>
  </si>
  <si>
    <t>Sigma job</t>
  </si>
  <si>
    <t>new sheet/workbook</t>
  </si>
  <si>
    <t>convert to csv</t>
  </si>
  <si>
    <t>validate (spelling, character limit)</t>
  </si>
  <si>
    <t>batch upload of csv with validation to prevent sql insertion</t>
  </si>
  <si>
    <t>done</t>
  </si>
  <si>
    <t>Total Time Today:</t>
  </si>
  <si>
    <t>Total Time This Week:</t>
  </si>
  <si>
    <t>Project</t>
  </si>
  <si>
    <t>Batch upload</t>
  </si>
  <si>
    <t>ProjectTask</t>
  </si>
  <si>
    <t>Project Total</t>
  </si>
  <si>
    <t>Project Task</t>
  </si>
  <si>
    <t>Task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</si>
</sst>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rgb="FF454545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/>
    <xf numFmtId="2" fontId="0" fillId="0" borderId="0" xfId="0" applyNumberFormat="1" applyAlignment="1">
      <alignment horizontal="center"/>
    </xf>
    <xf numFmtId="2" fontId="0" fillId="0" borderId="0" xfId="0" applyNumberFormat="1"/>
    <xf numFmtId="0" fontId="1" fillId="0" borderId="0" xfId="0" applyFont="1"/>
    <xf numFmtId="164" fontId="0" fillId="0" borderId="0" xfId="0" applyNumberFormat="1"/>
    <xf numFmtId="165" fontId="0" fillId="0" borderId="0" xfId="1" applyNumberFormat="1" applyFont="1"/>
    <xf numFmtId="0" fontId="0" fillId="0" borderId="0" xfId="0" applyAlignment="1"/>
    <xf numFmtId="0" fontId="4" fillId="0" borderId="0" xfId="0" applyFont="1"/>
    <xf numFmtId="49" fontId="0" fillId="0" borderId="0" xfId="0" applyNumberFormat="1"/>
    <xf numFmtId="164" fontId="1" fillId="0" borderId="0" xfId="0" applyNumberFormat="1" applyFont="1"/>
    <xf numFmtId="0" fontId="5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 applyAlignment="1">
      <alignment wrapTex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0" fontId="6" fillId="0" borderId="0" xfId="0" applyFont="1" applyBorder="1"/>
    <xf numFmtId="2" fontId="0" fillId="0" borderId="0" xfId="0" applyNumberFormat="1" applyFont="1" applyBorder="1"/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0" fillId="0" borderId="2" xfId="0" applyBorder="1"/>
    <xf numFmtId="49" fontId="0" fillId="0" borderId="2" xfId="0" applyNumberFormat="1" applyBorder="1"/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1" fillId="0" borderId="0" xfId="0" applyFont="1" applyAlignment="1">
      <alignment wrapText="1"/>
    </xf>
    <xf numFmtId="0" fontId="7" fillId="0" borderId="0" xfId="0" applyFont="1" applyBorder="1"/>
    <xf numFmtId="164" fontId="0" fillId="0" borderId="2" xfId="0" applyNumberFormat="1" applyBorder="1"/>
    <xf numFmtId="2" fontId="0" fillId="0" borderId="2" xfId="0" applyNumberFormat="1" applyBorder="1"/>
    <xf numFmtId="2" fontId="1" fillId="0" borderId="0" xfId="0" applyNumberFormat="1" applyFont="1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.140625" style="1" customWidth="1"/>
    <col min="2" max="2" width="9" style="1" customWidth="1"/>
    <col min="3" max="3" width="16.85546875" style="1" bestFit="1" customWidth="1"/>
    <col min="4" max="4" width="14.42578125" style="1" customWidth="1"/>
    <col min="5" max="5" width="42.140625" style="1" customWidth="1"/>
    <col min="6" max="6" width="11.5703125" style="1" customWidth="1"/>
    <col min="7" max="7" width="7.5703125" style="1" customWidth="1"/>
    <col min="8" max="8" width="27.140625" style="1" customWidth="1"/>
    <col min="9" max="9" width="28.28515625" style="1" customWidth="1"/>
    <col min="10" max="10" width="4.28515625" style="1" customWidth="1"/>
    <col min="11" max="11" width="11.140625" style="1" customWidth="1"/>
    <col min="12" max="12" width="10.5703125" style="1" customWidth="1"/>
    <col min="13" max="16384" width="9.140625" style="1"/>
  </cols>
  <sheetData>
    <row r="1" spans="1:12" x14ac:dyDescent="0.25">
      <c r="A1" s="4" t="s">
        <v>14</v>
      </c>
      <c r="B1" s="4" t="s">
        <v>4</v>
      </c>
      <c r="C1" s="4" t="s">
        <v>5</v>
      </c>
      <c r="D1" s="4" t="s">
        <v>29</v>
      </c>
      <c r="E1" s="4" t="s">
        <v>6</v>
      </c>
      <c r="F1" s="4" t="s">
        <v>7</v>
      </c>
      <c r="G1" s="4" t="s">
        <v>8</v>
      </c>
      <c r="H1" s="4" t="s">
        <v>9</v>
      </c>
      <c r="I1" s="4" t="s">
        <v>10</v>
      </c>
      <c r="J1" s="4" t="s">
        <v>11</v>
      </c>
      <c r="K1" s="1" t="s">
        <v>12</v>
      </c>
      <c r="L1" s="1" t="s">
        <v>13</v>
      </c>
    </row>
    <row r="16" spans="1:12" x14ac:dyDescent="0.25">
      <c r="H16" s="6"/>
      <c r="I16" s="6"/>
    </row>
    <row r="17" spans="2:9" x14ac:dyDescent="0.25">
      <c r="H17" s="6"/>
    </row>
    <row r="18" spans="2:9" x14ac:dyDescent="0.25">
      <c r="H18" s="6"/>
    </row>
    <row r="19" spans="2:9" x14ac:dyDescent="0.25">
      <c r="H19" s="6"/>
    </row>
    <row r="20" spans="2:9" x14ac:dyDescent="0.25">
      <c r="H20" s="6"/>
      <c r="I20" s="6"/>
    </row>
    <row r="21" spans="2:9" x14ac:dyDescent="0.25">
      <c r="B21" s="27"/>
      <c r="H21" s="6"/>
      <c r="I21" s="6"/>
    </row>
    <row r="22" spans="2:9" x14ac:dyDescent="0.25">
      <c r="H22" s="6"/>
      <c r="I22" s="6"/>
    </row>
    <row r="23" spans="2:9" x14ac:dyDescent="0.25">
      <c r="H23" s="6"/>
      <c r="I23" s="6"/>
    </row>
    <row r="24" spans="2:9" x14ac:dyDescent="0.25">
      <c r="B24" s="27"/>
      <c r="H24" s="6"/>
      <c r="I24" s="6"/>
    </row>
    <row r="26" spans="2:9" x14ac:dyDescent="0.25">
      <c r="B26" s="8"/>
    </row>
    <row r="27" spans="2:9" x14ac:dyDescent="0.25">
      <c r="H27" s="6"/>
      <c r="I27" s="6"/>
    </row>
    <row r="28" spans="2:9" x14ac:dyDescent="0.25">
      <c r="H28" s="6"/>
      <c r="I28" s="6"/>
    </row>
    <row r="29" spans="2:9" x14ac:dyDescent="0.25">
      <c r="H29" s="6"/>
      <c r="I29" s="6"/>
    </row>
    <row r="31" spans="2:9" x14ac:dyDescent="0.25">
      <c r="H31" s="6"/>
      <c r="I31" s="6"/>
    </row>
    <row r="32" spans="2:9" x14ac:dyDescent="0.25">
      <c r="H32" s="6"/>
      <c r="I32" s="6"/>
    </row>
    <row r="33" spans="8:9" x14ac:dyDescent="0.25">
      <c r="H33" s="6"/>
      <c r="I33" s="6"/>
    </row>
    <row r="35" spans="8:9" x14ac:dyDescent="0.25">
      <c r="H35" s="6"/>
      <c r="I35" s="6"/>
    </row>
    <row r="36" spans="8:9" x14ac:dyDescent="0.25">
      <c r="H36" s="6"/>
      <c r="I36" s="6"/>
    </row>
    <row r="37" spans="8:9" x14ac:dyDescent="0.25">
      <c r="H37" s="6"/>
      <c r="I37" s="6"/>
    </row>
    <row r="38" spans="8:9" x14ac:dyDescent="0.25">
      <c r="H38" s="6"/>
      <c r="I38" s="6"/>
    </row>
    <row r="39" spans="8:9" x14ac:dyDescent="0.25">
      <c r="H39" s="6"/>
      <c r="I39" s="6"/>
    </row>
    <row r="40" spans="8:9" x14ac:dyDescent="0.25">
      <c r="H40" s="6"/>
      <c r="I40" s="6"/>
    </row>
  </sheetData>
  <dataValidations count="2">
    <dataValidation type="list" allowBlank="1" showInputMessage="1" showErrorMessage="1" sqref="C1:C1048576" xr:uid="{00000000-0002-0000-0000-000000000000}">
      <formula1>#REF!</formula1>
    </dataValidation>
    <dataValidation type="list" allowBlank="1" showInputMessage="1" showErrorMessage="1" sqref="D1:D1048576" xr:uid="{00000000-0002-0000-0000-000001000000}">
      <formula1>#REF!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58"/>
  <sheetViews>
    <sheetView workbookViewId="0">
      <pane ySplit="2" topLeftCell="A3" activePane="bottomLeft" state="frozen"/>
      <selection pane="bottomLeft" activeCell="B3" sqref="B3"/>
    </sheetView>
  </sheetViews>
  <sheetFormatPr defaultRowHeight="15" x14ac:dyDescent="0.25"/>
  <cols>
    <col min="1" max="1" width="16.7109375" style="5" hidden="1" customWidth="1"/>
    <col min="2" max="3" width="16.7109375" style="5" customWidth="1"/>
    <col min="4" max="4" width="11.5703125" style="5" bestFit="1" customWidth="1"/>
    <col min="5" max="5" width="11.5703125" style="16" bestFit="1" customWidth="1"/>
    <col min="6" max="6" width="5.42578125" style="17" bestFit="1" customWidth="1"/>
    <col min="7" max="7" width="35.140625" style="12" bestFit="1" customWidth="1"/>
    <col min="8" max="8" width="27.42578125" style="12" customWidth="1"/>
    <col min="9" max="9" width="5.42578125" style="1" bestFit="1" customWidth="1"/>
    <col min="10" max="10" width="30.140625" bestFit="1" customWidth="1"/>
    <col min="11" max="11" width="67.7109375" bestFit="1" customWidth="1"/>
  </cols>
  <sheetData>
    <row r="1" spans="1:14" s="1" customFormat="1" x14ac:dyDescent="0.25">
      <c r="B1" s="10"/>
      <c r="C1" s="10" t="s">
        <v>43</v>
      </c>
      <c r="E1" s="17">
        <f>SUM($I$2:$I40)</f>
        <v>0</v>
      </c>
      <c r="F1" s="17"/>
      <c r="G1" s="26" t="s">
        <v>44</v>
      </c>
      <c r="H1" s="17">
        <f>E1</f>
        <v>0</v>
      </c>
    </row>
    <row r="2" spans="1:14" x14ac:dyDescent="0.25">
      <c r="A2" s="22" t="s">
        <v>47</v>
      </c>
      <c r="B2" s="22" t="s">
        <v>45</v>
      </c>
      <c r="C2" s="22" t="s">
        <v>6</v>
      </c>
      <c r="D2" s="23" t="s">
        <v>0</v>
      </c>
      <c r="E2" s="23" t="s">
        <v>1</v>
      </c>
      <c r="F2" s="23" t="s">
        <v>2</v>
      </c>
      <c r="G2" s="24" t="s">
        <v>3</v>
      </c>
      <c r="H2" s="25" t="s">
        <v>28</v>
      </c>
      <c r="I2" s="22" t="s">
        <v>2</v>
      </c>
      <c r="J2" s="22" t="s">
        <v>47</v>
      </c>
      <c r="K2" s="24" t="s">
        <v>3</v>
      </c>
    </row>
    <row r="3" spans="1:14" s="1" customFormat="1" x14ac:dyDescent="0.25">
      <c r="A3" s="1" t="str">
        <f>IF(ISBLANK(C3),IF(ISBLANK(B3),"",B3),_xlfn.CONCAT(B3,"-",C3))</f>
        <v/>
      </c>
      <c r="D3" s="5"/>
      <c r="E3" s="5"/>
      <c r="F3" s="2" t="str">
        <f t="shared" ref="F3:F40" si="0">IF(OR(ISBLANK(E3),ISBLANK(D3),ISBLANK(A3)),"",(E3-D3)*24)</f>
        <v/>
      </c>
      <c r="I3" s="19" t="str">
        <f t="shared" ref="I3:I40" si="1">IF($J3="","",MROUND(SUMIF(A:A,"="&amp;J3,F:F),0.25))</f>
        <v/>
      </c>
      <c r="J3" s="18" t="str">
        <f t="array" ref="J3">IFERROR(INDEX($A$3:$A$42, MATCH(0, COUNTIF($J$2:J2, $A$3:$A$42&amp;"") + IF($A$3:$A$42="",1,0), 0)), "")</f>
        <v/>
      </c>
      <c r="K3" s="1" t="str">
        <f>IF($J3="","",ConcatIf($A$3:$A$42,$J3,$G$3:$G$42," ; "))</f>
        <v/>
      </c>
    </row>
    <row r="4" spans="1:14" s="1" customFormat="1" x14ac:dyDescent="0.25">
      <c r="A4" s="1" t="str">
        <f t="shared" ref="A4:A40" si="2">IF(ISBLANK(C4),IF(ISBLANK(B4),"",B4),_xlfn.CONCAT(B4,"-",C4))</f>
        <v/>
      </c>
      <c r="D4" s="5" t="str">
        <f>IF(ISBLANK(E3),"",E3)</f>
        <v/>
      </c>
      <c r="E4" s="5"/>
      <c r="F4" s="2" t="str">
        <f t="shared" si="0"/>
        <v/>
      </c>
      <c r="H4" s="13"/>
      <c r="I4" s="19" t="str">
        <f t="shared" si="1"/>
        <v/>
      </c>
      <c r="J4" s="18" t="str">
        <f t="array" ref="J4">IFERROR(INDEX($A$3:$A$42, MATCH(0, COUNTIF($J$2:J3, $A$3:$A$42&amp;"") + IF($A$3:$A$42="",1,0), 0)), "")</f>
        <v/>
      </c>
      <c r="K4" s="1" t="str">
        <f>IF($J4="","",ConcatIf($A$3:$A$42,$J4,$G$3:$G$42," ; "))</f>
        <v/>
      </c>
    </row>
    <row r="5" spans="1:14" x14ac:dyDescent="0.25">
      <c r="A5" s="1" t="str">
        <f t="shared" si="2"/>
        <v/>
      </c>
      <c r="B5" s="1"/>
      <c r="C5" s="1"/>
      <c r="D5" s="5" t="str">
        <f t="shared" ref="D5:D40" si="3">IF(ISBLANK(E4),"",E4)</f>
        <v/>
      </c>
      <c r="E5" s="5"/>
      <c r="F5" s="2" t="str">
        <f t="shared" si="0"/>
        <v/>
      </c>
      <c r="G5" s="1"/>
      <c r="H5" s="13"/>
      <c r="I5" s="19" t="str">
        <f t="shared" si="1"/>
        <v/>
      </c>
      <c r="J5" s="18" t="str">
        <f t="array" ref="J5">IFERROR(INDEX($A$3:$A$42, MATCH(0, COUNTIF($J$2:J4, $A$3:$A$42&amp;"") + IF($A$3:$A$42="",1,0), 0)), "")</f>
        <v/>
      </c>
      <c r="K5" s="1" t="str">
        <f>IF($J5="","",ConcatIf($A$3:$A$42,$J5,$G$3:$G$42," ; "))</f>
        <v/>
      </c>
    </row>
    <row r="6" spans="1:14" s="1" customFormat="1" x14ac:dyDescent="0.25">
      <c r="A6" s="1" t="str">
        <f t="shared" si="2"/>
        <v/>
      </c>
      <c r="D6" s="5" t="str">
        <f t="shared" si="3"/>
        <v/>
      </c>
      <c r="E6" s="5"/>
      <c r="F6" s="2" t="str">
        <f t="shared" si="0"/>
        <v/>
      </c>
      <c r="H6" s="13"/>
      <c r="I6" s="19" t="str">
        <f t="shared" si="1"/>
        <v/>
      </c>
      <c r="J6" s="18" t="str">
        <f t="array" ref="J6">IFERROR(INDEX($A$3:$A$42, MATCH(0, COUNTIF($J$2:J5, $A$3:$A$42&amp;"") + IF($A$3:$A$42="",1,0), 0)), "")</f>
        <v/>
      </c>
      <c r="K6" s="1" t="str">
        <f>IF($J6="","",ConcatIf($A$3:$A$42,$J6,$G$3:$G$42," ; "))</f>
        <v/>
      </c>
    </row>
    <row r="7" spans="1:14" x14ac:dyDescent="0.25">
      <c r="A7" s="1" t="str">
        <f t="shared" si="2"/>
        <v/>
      </c>
      <c r="B7" s="1"/>
      <c r="C7" s="1"/>
      <c r="D7" s="5" t="str">
        <f t="shared" si="3"/>
        <v/>
      </c>
      <c r="E7" s="5"/>
      <c r="F7" s="2" t="str">
        <f t="shared" si="0"/>
        <v/>
      </c>
      <c r="G7" s="1"/>
      <c r="H7" s="13"/>
      <c r="I7" s="19" t="str">
        <f t="shared" si="1"/>
        <v/>
      </c>
      <c r="J7" s="18" t="str">
        <f t="array" ref="J7">IFERROR(INDEX($A$3:$A$42, MATCH(0, COUNTIF($J$2:J6, $A$3:$A$42&amp;"") + IF($A$3:$A$42="",1,0), 0)), "")</f>
        <v/>
      </c>
      <c r="K7" s="1" t="str">
        <f>IF($J7="","",ConcatIf($A$3:$A$42,$J7,$G$3:$G$42," ; "))</f>
        <v/>
      </c>
    </row>
    <row r="8" spans="1:14" x14ac:dyDescent="0.25">
      <c r="A8" s="1" t="str">
        <f t="shared" si="2"/>
        <v/>
      </c>
      <c r="B8" s="1"/>
      <c r="C8" s="1"/>
      <c r="D8" s="5" t="str">
        <f t="shared" si="3"/>
        <v/>
      </c>
      <c r="E8" s="5"/>
      <c r="F8" s="2" t="str">
        <f t="shared" si="0"/>
        <v/>
      </c>
      <c r="G8" s="1"/>
      <c r="H8" s="13"/>
      <c r="I8" s="19" t="str">
        <f t="shared" si="1"/>
        <v/>
      </c>
      <c r="J8" s="18" t="str">
        <f t="array" ref="J8">IFERROR(INDEX($A$3:$A$42, MATCH(0, COUNTIF($J$2:J7, $A$3:$A$42&amp;"") + IF($A$3:$A$42="",1,0), 0)), "")</f>
        <v/>
      </c>
      <c r="K8" s="1" t="str">
        <f>IF($J8="","",ConcatIf($A$3:$A$42,$J8,$G$3:$G$42," ; "))</f>
        <v/>
      </c>
      <c r="L8" s="1"/>
      <c r="M8" s="1"/>
      <c r="N8" s="1"/>
    </row>
    <row r="9" spans="1:14" x14ac:dyDescent="0.25">
      <c r="A9" s="1" t="str">
        <f t="shared" si="2"/>
        <v/>
      </c>
      <c r="B9" s="1"/>
      <c r="C9" s="1"/>
      <c r="D9" s="5" t="str">
        <f t="shared" si="3"/>
        <v/>
      </c>
      <c r="E9" s="5"/>
      <c r="F9" s="2" t="str">
        <f t="shared" si="0"/>
        <v/>
      </c>
      <c r="G9" s="1"/>
      <c r="H9" s="14"/>
      <c r="I9" s="19" t="str">
        <f t="shared" si="1"/>
        <v/>
      </c>
      <c r="J9" s="18" t="str">
        <f t="array" ref="J9">IFERROR(INDEX($A$3:$A$42, MATCH(0, COUNTIF($J$2:J8, $A$3:$A$42&amp;"") + IF($A$3:$A$42="",1,0), 0)), "")</f>
        <v/>
      </c>
      <c r="K9" s="1" t="str">
        <f>IF($J9="","",ConcatIf($A$3:$A$42,$J9,$G$3:$G$42," ; "))</f>
        <v/>
      </c>
      <c r="L9" s="1"/>
      <c r="M9" s="1"/>
      <c r="N9" s="1"/>
    </row>
    <row r="10" spans="1:14" x14ac:dyDescent="0.25">
      <c r="A10" s="1" t="str">
        <f t="shared" si="2"/>
        <v/>
      </c>
      <c r="B10" s="1"/>
      <c r="C10" s="1"/>
      <c r="D10" s="5" t="str">
        <f t="shared" si="3"/>
        <v/>
      </c>
      <c r="E10" s="5"/>
      <c r="F10" s="2" t="str">
        <f t="shared" si="0"/>
        <v/>
      </c>
      <c r="G10" s="1"/>
      <c r="H10" s="13"/>
      <c r="I10" s="19" t="str">
        <f t="shared" si="1"/>
        <v/>
      </c>
      <c r="J10" s="18" t="str">
        <f t="array" ref="J10">IFERROR(INDEX($A$3:$A$42, MATCH(0, COUNTIF($J$2:J9, $A$3:$A$42&amp;"") + IF($A$3:$A$42="",1,0), 0)), "")</f>
        <v/>
      </c>
      <c r="K10" s="1" t="str">
        <f>IF($J10="","",ConcatIf($A$3:$A$42,$J10,$G$3:$G$42," ; "))</f>
        <v/>
      </c>
      <c r="L10" s="1"/>
      <c r="M10" s="1"/>
      <c r="N10" s="1"/>
    </row>
    <row r="11" spans="1:14" x14ac:dyDescent="0.25">
      <c r="A11" s="1" t="str">
        <f t="shared" si="2"/>
        <v/>
      </c>
      <c r="B11" s="1"/>
      <c r="C11" s="1"/>
      <c r="D11" s="5" t="str">
        <f t="shared" si="3"/>
        <v/>
      </c>
      <c r="E11" s="5"/>
      <c r="F11" s="2" t="str">
        <f t="shared" si="0"/>
        <v/>
      </c>
      <c r="H11" s="13"/>
      <c r="I11" s="19" t="str">
        <f t="shared" si="1"/>
        <v/>
      </c>
      <c r="J11" s="18" t="str">
        <f t="array" ref="J11">IFERROR(INDEX($A$3:$A$42, MATCH(0, COUNTIF($J$2:J10, $A$3:$A$42&amp;"") + IF($A$3:$A$42="",1,0), 0)), "")</f>
        <v/>
      </c>
      <c r="K11" s="1" t="str">
        <f>IF($J11="","",ConcatIf($A$3:$A$42,$J11,$G$3:$G$42," ; "))</f>
        <v/>
      </c>
      <c r="L11" s="1"/>
      <c r="M11" s="1"/>
      <c r="N11" s="1"/>
    </row>
    <row r="12" spans="1:14" s="1" customFormat="1" x14ac:dyDescent="0.25">
      <c r="A12" s="1" t="str">
        <f t="shared" si="2"/>
        <v/>
      </c>
      <c r="D12" s="5" t="str">
        <f t="shared" si="3"/>
        <v/>
      </c>
      <c r="E12" s="5"/>
      <c r="F12" s="2" t="str">
        <f t="shared" si="0"/>
        <v/>
      </c>
      <c r="G12" s="12"/>
      <c r="H12" s="13"/>
      <c r="I12" s="19" t="str">
        <f t="shared" si="1"/>
        <v/>
      </c>
      <c r="J12" s="18" t="str">
        <f t="array" ref="J12">IFERROR(INDEX($A$3:$A$42, MATCH(0, COUNTIF($J$2:J11, $A$3:$A$42&amp;"") + IF($A$3:$A$42="",1,0), 0)), "")</f>
        <v/>
      </c>
      <c r="K12" s="1" t="str">
        <f>IF($J12="","",ConcatIf($A$3:$A$42,$J12,$G$3:$G$42," ; "))</f>
        <v/>
      </c>
    </row>
    <row r="13" spans="1:14" s="1" customFormat="1" x14ac:dyDescent="0.25">
      <c r="A13" s="1" t="str">
        <f t="shared" si="2"/>
        <v/>
      </c>
      <c r="D13" s="5" t="str">
        <f t="shared" si="3"/>
        <v/>
      </c>
      <c r="E13" s="5"/>
      <c r="F13" s="2" t="str">
        <f t="shared" si="0"/>
        <v/>
      </c>
      <c r="G13" s="12"/>
      <c r="H13" s="13"/>
      <c r="I13" s="19" t="str">
        <f t="shared" si="1"/>
        <v/>
      </c>
      <c r="J13" s="18" t="str">
        <f t="array" ref="J13">IFERROR(INDEX($A$3:$A$42, MATCH(0, COUNTIF($J$2:J12, $A$3:$A$42&amp;"") + IF($A$3:$A$42="",1,0), 0)), "")</f>
        <v/>
      </c>
      <c r="K13" s="1" t="str">
        <f>IF($J13="","",ConcatIf($A$3:$A$42,$J13,$G$3:$G$42," ; "))</f>
        <v/>
      </c>
    </row>
    <row r="14" spans="1:14" x14ac:dyDescent="0.25">
      <c r="A14" s="1" t="str">
        <f t="shared" si="2"/>
        <v/>
      </c>
      <c r="B14" s="1"/>
      <c r="C14" s="1"/>
      <c r="D14" s="5" t="str">
        <f t="shared" si="3"/>
        <v/>
      </c>
      <c r="E14" s="5"/>
      <c r="F14" s="2" t="str">
        <f t="shared" si="0"/>
        <v/>
      </c>
      <c r="H14" s="13"/>
      <c r="I14" s="19" t="str">
        <f t="shared" si="1"/>
        <v/>
      </c>
      <c r="J14" s="18" t="str">
        <f t="array" ref="J14">IFERROR(INDEX($A$3:$A$42, MATCH(0, COUNTIF($J$2:J13, $A$3:$A$42&amp;"") + IF($A$3:$A$42="",1,0), 0)), "")</f>
        <v/>
      </c>
      <c r="K14" s="1" t="str">
        <f>IF($J14="","",ConcatIf($A$3:$A$42,$J14,$G$3:$G$42," ; "))</f>
        <v/>
      </c>
    </row>
    <row r="15" spans="1:14" s="1" customFormat="1" x14ac:dyDescent="0.25">
      <c r="A15" s="1" t="str">
        <f t="shared" si="2"/>
        <v/>
      </c>
      <c r="D15" s="5" t="str">
        <f t="shared" si="3"/>
        <v/>
      </c>
      <c r="E15" s="5"/>
      <c r="F15" s="2" t="str">
        <f t="shared" si="0"/>
        <v/>
      </c>
      <c r="G15" s="12"/>
      <c r="H15" s="13"/>
      <c r="I15" s="19" t="str">
        <f t="shared" si="1"/>
        <v/>
      </c>
      <c r="J15" s="18" t="str">
        <f t="array" ref="J15">IFERROR(INDEX($A$3:$A$42, MATCH(0, COUNTIF($J$2:J14, $A$3:$A$42&amp;"") + IF($A$3:$A$42="",1,0), 0)), "")</f>
        <v/>
      </c>
      <c r="K15" s="1" t="str">
        <f>IF($J15="","",ConcatIf($A$3:$A$42,$J15,$G$3:$G$42," ; "))</f>
        <v/>
      </c>
    </row>
    <row r="16" spans="1:14" s="1" customFormat="1" x14ac:dyDescent="0.25">
      <c r="A16" s="1" t="str">
        <f t="shared" si="2"/>
        <v/>
      </c>
      <c r="D16" s="5" t="str">
        <f t="shared" si="3"/>
        <v/>
      </c>
      <c r="E16" s="5"/>
      <c r="F16" s="2" t="str">
        <f t="shared" si="0"/>
        <v/>
      </c>
      <c r="G16" s="12"/>
      <c r="H16" s="13"/>
      <c r="I16" s="19" t="str">
        <f t="shared" si="1"/>
        <v/>
      </c>
      <c r="J16" s="18" t="str">
        <f t="array" ref="J16">IFERROR(INDEX($A$3:$A$42, MATCH(0, COUNTIF($J$2:J15, $A$3:$A$42&amp;"") + IF($A$3:$A$42="",1,0), 0)), "")</f>
        <v/>
      </c>
      <c r="K16" s="1" t="str">
        <f>IF($J16="","",ConcatIf($A$3:$A$42,$J16,$G$3:$G$42," ; "))</f>
        <v/>
      </c>
    </row>
    <row r="17" spans="1:11" s="1" customFormat="1" x14ac:dyDescent="0.25">
      <c r="A17" s="1" t="str">
        <f t="shared" si="2"/>
        <v/>
      </c>
      <c r="D17" s="5" t="str">
        <f t="shared" si="3"/>
        <v/>
      </c>
      <c r="E17" s="5"/>
      <c r="F17" s="2" t="str">
        <f t="shared" si="0"/>
        <v/>
      </c>
      <c r="G17" s="12"/>
      <c r="H17" s="13"/>
      <c r="I17" s="19" t="str">
        <f t="shared" si="1"/>
        <v/>
      </c>
      <c r="J17" s="18" t="str">
        <f t="array" ref="J17">IFERROR(INDEX($A$3:$A$42, MATCH(0, COUNTIF($J$2:J16, $A$3:$A$42&amp;"") + IF($A$3:$A$42="",1,0), 0)), "")</f>
        <v/>
      </c>
      <c r="K17" s="1" t="str">
        <f>IF($J17="","",ConcatIf($A$3:$A$42,$J17,$G$3:$G$42," ; "))</f>
        <v/>
      </c>
    </row>
    <row r="18" spans="1:11" s="1" customFormat="1" x14ac:dyDescent="0.25">
      <c r="A18" s="1" t="str">
        <f t="shared" si="2"/>
        <v/>
      </c>
      <c r="D18" s="5" t="str">
        <f t="shared" si="3"/>
        <v/>
      </c>
      <c r="E18" s="5"/>
      <c r="F18" s="2" t="str">
        <f t="shared" si="0"/>
        <v/>
      </c>
      <c r="G18" s="12"/>
      <c r="H18" s="13"/>
      <c r="I18" s="19" t="str">
        <f t="shared" si="1"/>
        <v/>
      </c>
      <c r="J18" s="18" t="str">
        <f t="array" ref="J18">IFERROR(INDEX($A$3:$A$42, MATCH(0, COUNTIF($J$2:J17, $A$3:$A$42&amp;"") + IF($A$3:$A$42="",1,0), 0)), "")</f>
        <v/>
      </c>
      <c r="K18" s="1" t="str">
        <f>IF($J18="","",ConcatIf($A$3:$A$42,$J18,$G$3:$G$42," ; "))</f>
        <v/>
      </c>
    </row>
    <row r="19" spans="1:11" s="1" customFormat="1" x14ac:dyDescent="0.25">
      <c r="A19" s="1" t="str">
        <f t="shared" si="2"/>
        <v/>
      </c>
      <c r="B19" s="12"/>
      <c r="D19" s="5" t="str">
        <f t="shared" si="3"/>
        <v/>
      </c>
      <c r="E19" s="5"/>
      <c r="F19" s="2" t="str">
        <f t="shared" si="0"/>
        <v/>
      </c>
      <c r="G19" s="12"/>
      <c r="H19" s="13"/>
      <c r="I19" s="19" t="str">
        <f t="shared" si="1"/>
        <v/>
      </c>
      <c r="J19" s="18" t="str">
        <f t="array" ref="J19">IFERROR(INDEX($A$3:$A$42, MATCH(0, COUNTIF($J$2:J18, $A$3:$A$42&amp;"") + IF($A$3:$A$42="",1,0), 0)), "")</f>
        <v/>
      </c>
      <c r="K19" s="1" t="str">
        <f>IF($J19="","",ConcatIf($A$3:$A$42,$J19,$G$3:$G$42," ; "))</f>
        <v/>
      </c>
    </row>
    <row r="20" spans="1:11" s="1" customFormat="1" x14ac:dyDescent="0.25">
      <c r="A20" s="1" t="str">
        <f t="shared" si="2"/>
        <v/>
      </c>
      <c r="D20" s="5" t="str">
        <f t="shared" si="3"/>
        <v/>
      </c>
      <c r="E20" s="5"/>
      <c r="F20" s="2" t="str">
        <f t="shared" si="0"/>
        <v/>
      </c>
      <c r="G20" s="12"/>
      <c r="H20" s="13"/>
      <c r="I20" s="19" t="str">
        <f t="shared" si="1"/>
        <v/>
      </c>
      <c r="J20" s="18" t="str">
        <f t="array" ref="J20">IFERROR(INDEX($A$3:$A$42, MATCH(0, COUNTIF($J$2:J19, $A$3:$A$42&amp;"") + IF($A$3:$A$42="",1,0), 0)), "")</f>
        <v/>
      </c>
      <c r="K20" s="1" t="str">
        <f>IF($J20="","",ConcatIf($A$3:$A$42,$J20,$G$3:$G$42," ; "))</f>
        <v/>
      </c>
    </row>
    <row r="21" spans="1:11" x14ac:dyDescent="0.25">
      <c r="A21" s="1" t="str">
        <f t="shared" si="2"/>
        <v/>
      </c>
      <c r="B21" s="1"/>
      <c r="C21" s="1"/>
      <c r="D21" s="5" t="str">
        <f t="shared" si="3"/>
        <v/>
      </c>
      <c r="E21" s="5"/>
      <c r="F21" s="2" t="str">
        <f t="shared" si="0"/>
        <v/>
      </c>
      <c r="H21" s="13"/>
      <c r="I21" s="19" t="str">
        <f t="shared" si="1"/>
        <v/>
      </c>
      <c r="J21" s="18" t="str">
        <f t="array" ref="J21">IFERROR(INDEX($A$3:$A$42, MATCH(0, COUNTIF($J$2:J20, $A$3:$A$42&amp;"") + IF($A$3:$A$42="",1,0), 0)), "")</f>
        <v/>
      </c>
      <c r="K21" s="1" t="str">
        <f>IF($J21="","",ConcatIf($A$3:$A$42,$J21,$G$3:$G$42," ; "))</f>
        <v/>
      </c>
    </row>
    <row r="22" spans="1:11" x14ac:dyDescent="0.25">
      <c r="A22" s="1" t="str">
        <f t="shared" si="2"/>
        <v/>
      </c>
      <c r="B22" s="1"/>
      <c r="C22" s="1"/>
      <c r="D22" s="5" t="str">
        <f t="shared" si="3"/>
        <v/>
      </c>
      <c r="E22" s="5"/>
      <c r="F22" s="2" t="str">
        <f t="shared" si="0"/>
        <v/>
      </c>
      <c r="H22" s="13"/>
      <c r="I22" s="19" t="str">
        <f t="shared" si="1"/>
        <v/>
      </c>
      <c r="J22" s="18" t="str">
        <f t="array" ref="J22">IFERROR(INDEX($A$3:$A$42, MATCH(0, COUNTIF($J$2:J21, $A$3:$A$42&amp;"") + IF($A$3:$A$42="",1,0), 0)), "")</f>
        <v/>
      </c>
      <c r="K22" s="1" t="str">
        <f>IF($J22="","",ConcatIf($A$3:$A$42,$J22,$G$3:$G$42," ; "))</f>
        <v/>
      </c>
    </row>
    <row r="23" spans="1:11" x14ac:dyDescent="0.25">
      <c r="A23" s="1" t="str">
        <f t="shared" si="2"/>
        <v/>
      </c>
      <c r="B23" s="1"/>
      <c r="C23" s="1"/>
      <c r="D23" s="5" t="str">
        <f t="shared" si="3"/>
        <v/>
      </c>
      <c r="E23" s="5"/>
      <c r="F23" s="2" t="str">
        <f t="shared" si="0"/>
        <v/>
      </c>
      <c r="I23" s="19" t="str">
        <f t="shared" si="1"/>
        <v/>
      </c>
      <c r="J23" s="18" t="str">
        <f t="array" ref="J23">IFERROR(INDEX($A$3:$A$42, MATCH(0, COUNTIF($J$2:J22, $A$3:$A$42&amp;"") + IF($A$3:$A$42="",1,0), 0)), "")</f>
        <v/>
      </c>
      <c r="K23" s="1" t="str">
        <f>IF($J23="","",ConcatIf($A$3:$A$42,$J23,$G$3:$G$42," ; "))</f>
        <v/>
      </c>
    </row>
    <row r="24" spans="1:11" s="1" customFormat="1" x14ac:dyDescent="0.25">
      <c r="A24" s="1" t="str">
        <f t="shared" si="2"/>
        <v/>
      </c>
      <c r="B24" s="5"/>
      <c r="C24" s="5"/>
      <c r="D24" s="5" t="str">
        <f t="shared" si="3"/>
        <v/>
      </c>
      <c r="E24" s="16"/>
      <c r="F24" s="2" t="str">
        <f t="shared" si="0"/>
        <v/>
      </c>
      <c r="G24" s="12"/>
      <c r="I24" s="19" t="str">
        <f t="shared" si="1"/>
        <v/>
      </c>
      <c r="J24" s="18" t="str">
        <f t="array" ref="J24">IFERROR(INDEX($A$3:$A$42, MATCH(0, COUNTIF($J$2:J23, $A$3:$A$42&amp;"") + IF($A$3:$A$42="",1,0), 0)), "")</f>
        <v/>
      </c>
      <c r="K24" s="1" t="str">
        <f>IF($J24="","",ConcatIf($A$3:$A$42,$J24,$G$3:$G$42," ; "))</f>
        <v/>
      </c>
    </row>
    <row r="25" spans="1:11" x14ac:dyDescent="0.25">
      <c r="A25" s="1" t="str">
        <f t="shared" si="2"/>
        <v/>
      </c>
      <c r="B25" s="1"/>
      <c r="C25" s="1"/>
      <c r="D25" s="5" t="str">
        <f t="shared" si="3"/>
        <v/>
      </c>
      <c r="F25" s="2" t="str">
        <f t="shared" si="0"/>
        <v/>
      </c>
      <c r="I25" s="19" t="str">
        <f t="shared" si="1"/>
        <v/>
      </c>
      <c r="J25" s="18" t="str">
        <f t="array" ref="J25">IFERROR(INDEX($A$3:$A$42, MATCH(0, COUNTIF($J$2:J24, $A$3:$A$42&amp;"") + IF($A$3:$A$42="",1,0), 0)), "")</f>
        <v/>
      </c>
      <c r="K25" s="1" t="str">
        <f>IF($J25="","",ConcatIf($A$3:$A$42,$J25,$G$3:$G$42," ; "))</f>
        <v/>
      </c>
    </row>
    <row r="26" spans="1:11" x14ac:dyDescent="0.25">
      <c r="A26" s="1" t="str">
        <f t="shared" si="2"/>
        <v/>
      </c>
      <c r="B26" s="1"/>
      <c r="C26" s="1"/>
      <c r="D26" s="5" t="str">
        <f t="shared" si="3"/>
        <v/>
      </c>
      <c r="F26" s="2" t="str">
        <f t="shared" si="0"/>
        <v/>
      </c>
      <c r="I26" s="19" t="str">
        <f t="shared" si="1"/>
        <v/>
      </c>
      <c r="J26" s="18" t="str">
        <f t="array" ref="J26">IFERROR(INDEX($A$3:$A$42, MATCH(0, COUNTIF($J$2:J25, $A$3:$A$42&amp;"") + IF($A$3:$A$42="",1,0), 0)), "")</f>
        <v/>
      </c>
      <c r="K26" s="1" t="str">
        <f>IF($J26="","",ConcatIf($A$3:$A$42,$J26,$G$3:$G$42," ; "))</f>
        <v/>
      </c>
    </row>
    <row r="27" spans="1:11" x14ac:dyDescent="0.25">
      <c r="A27" s="1" t="str">
        <f t="shared" si="2"/>
        <v/>
      </c>
      <c r="B27" s="1"/>
      <c r="C27" s="1"/>
      <c r="D27" s="5" t="str">
        <f t="shared" si="3"/>
        <v/>
      </c>
      <c r="F27" s="2" t="str">
        <f t="shared" si="0"/>
        <v/>
      </c>
      <c r="I27" s="19" t="str">
        <f t="shared" si="1"/>
        <v/>
      </c>
      <c r="J27" s="18" t="str">
        <f t="array" ref="J27">IFERROR(INDEX($A$3:$A$42, MATCH(0, COUNTIF($J$2:J26, $A$3:$A$42&amp;"") + IF($A$3:$A$42="",1,0), 0)), "")</f>
        <v/>
      </c>
      <c r="K27" s="1" t="str">
        <f>IF($J27="","",ConcatIf($A$3:$A$42,$J27,$G$3:$G$42," ; "))</f>
        <v/>
      </c>
    </row>
    <row r="28" spans="1:11" x14ac:dyDescent="0.25">
      <c r="A28" s="1" t="str">
        <f t="shared" si="2"/>
        <v/>
      </c>
      <c r="D28" s="5" t="str">
        <f t="shared" si="3"/>
        <v/>
      </c>
      <c r="F28" s="2" t="str">
        <f t="shared" si="0"/>
        <v/>
      </c>
      <c r="I28" s="19" t="str">
        <f t="shared" si="1"/>
        <v/>
      </c>
      <c r="J28" s="18" t="str">
        <f t="array" ref="J28">IFERROR(INDEX($A$3:$A$42, MATCH(0, COUNTIF($J$2:J27, $A$3:$A$42&amp;"") + IF($A$3:$A$42="",1,0), 0)), "")</f>
        <v/>
      </c>
      <c r="K28" s="1" t="str">
        <f>IF($J28="","",ConcatIf($A$3:$A$42,$J28,$G$3:$G$42," ; "))</f>
        <v/>
      </c>
    </row>
    <row r="29" spans="1:11" x14ac:dyDescent="0.25">
      <c r="A29" s="1" t="str">
        <f t="shared" si="2"/>
        <v/>
      </c>
      <c r="B29" s="1"/>
      <c r="C29" s="1"/>
      <c r="D29" s="5" t="str">
        <f t="shared" si="3"/>
        <v/>
      </c>
      <c r="F29" s="2" t="str">
        <f t="shared" si="0"/>
        <v/>
      </c>
      <c r="I29" s="19" t="str">
        <f t="shared" si="1"/>
        <v/>
      </c>
      <c r="J29" s="18" t="str">
        <f t="array" ref="J29">IFERROR(INDEX($A$3:$A$42, MATCH(0, COUNTIF($J$2:J28, $A$3:$A$42&amp;"") + IF($A$3:$A$42="",1,0), 0)), "")</f>
        <v/>
      </c>
      <c r="K29" s="1" t="str">
        <f>IF($J29="","",ConcatIf($A$3:$A$42,$J29,$G$3:$G$42," ; "))</f>
        <v/>
      </c>
    </row>
    <row r="30" spans="1:11" x14ac:dyDescent="0.25">
      <c r="A30" s="1" t="str">
        <f t="shared" si="2"/>
        <v/>
      </c>
      <c r="D30" s="5" t="str">
        <f t="shared" si="3"/>
        <v/>
      </c>
      <c r="F30" s="2" t="str">
        <f t="shared" si="0"/>
        <v/>
      </c>
      <c r="I30" s="19" t="str">
        <f t="shared" si="1"/>
        <v/>
      </c>
      <c r="J30" s="18" t="str">
        <f t="array" ref="J30">IFERROR(INDEX($A$3:$A$42, MATCH(0, COUNTIF($J$2:J29, $A$3:$A$42&amp;"") + IF($A$3:$A$42="",1,0), 0)), "")</f>
        <v/>
      </c>
      <c r="K30" s="1" t="str">
        <f>IF($J30="","",ConcatIf($A$3:$A$42,$J30,$G$3:$G$42," ; "))</f>
        <v/>
      </c>
    </row>
    <row r="31" spans="1:11" x14ac:dyDescent="0.25">
      <c r="A31" s="1" t="str">
        <f t="shared" si="2"/>
        <v/>
      </c>
      <c r="B31" s="1"/>
      <c r="C31" s="1"/>
      <c r="D31" s="5" t="str">
        <f t="shared" si="3"/>
        <v/>
      </c>
      <c r="F31" s="2" t="str">
        <f t="shared" si="0"/>
        <v/>
      </c>
      <c r="I31" s="19" t="str">
        <f t="shared" si="1"/>
        <v/>
      </c>
      <c r="J31" s="18" t="str">
        <f t="array" ref="J31">IFERROR(INDEX($A$3:$A$42, MATCH(0, COUNTIF($J$2:J30, $A$3:$A$42&amp;"") + IF($A$3:$A$42="",1,0), 0)), "")</f>
        <v/>
      </c>
      <c r="K31" s="1" t="str">
        <f>IF($J31="","",ConcatIf($A$3:$A$42,$J31,$G$3:$G$42," ; "))</f>
        <v/>
      </c>
    </row>
    <row r="32" spans="1:11" x14ac:dyDescent="0.25">
      <c r="A32" s="1" t="str">
        <f t="shared" si="2"/>
        <v/>
      </c>
      <c r="D32" s="5" t="str">
        <f t="shared" si="3"/>
        <v/>
      </c>
      <c r="F32" s="2" t="str">
        <f t="shared" si="0"/>
        <v/>
      </c>
      <c r="I32" s="19" t="str">
        <f t="shared" si="1"/>
        <v/>
      </c>
      <c r="J32" s="18" t="str">
        <f t="array" ref="J32">IFERROR(INDEX($A$3:$A$42, MATCH(0, COUNTIF($J$2:J31, $A$3:$A$42&amp;"") + IF($A$3:$A$42="",1,0), 0)), "")</f>
        <v/>
      </c>
      <c r="K32" s="1" t="str">
        <f>IF($J32="","",ConcatIf($A$3:$A$42,$J32,$G$3:$G$42," ; "))</f>
        <v/>
      </c>
    </row>
    <row r="33" spans="1:11" x14ac:dyDescent="0.25">
      <c r="A33" s="1" t="str">
        <f t="shared" si="2"/>
        <v/>
      </c>
      <c r="D33" s="5" t="str">
        <f t="shared" si="3"/>
        <v/>
      </c>
      <c r="F33" s="2" t="str">
        <f t="shared" si="0"/>
        <v/>
      </c>
      <c r="I33" s="19" t="str">
        <f t="shared" si="1"/>
        <v/>
      </c>
      <c r="J33" s="18" t="str">
        <f t="array" ref="J33">IFERROR(INDEX($A$3:$A$42, MATCH(0, COUNTIF($J$2:J32, $A$3:$A$42&amp;"") + IF($A$3:$A$42="",1,0), 0)), "")</f>
        <v/>
      </c>
      <c r="K33" s="1" t="str">
        <f>IF($J33="","",ConcatIf($A$3:$A$42,$J33,$G$3:$G$42," ; "))</f>
        <v/>
      </c>
    </row>
    <row r="34" spans="1:11" x14ac:dyDescent="0.25">
      <c r="A34" s="1" t="str">
        <f t="shared" si="2"/>
        <v/>
      </c>
      <c r="D34" s="5" t="str">
        <f t="shared" si="3"/>
        <v/>
      </c>
      <c r="F34" s="2" t="str">
        <f t="shared" si="0"/>
        <v/>
      </c>
      <c r="I34" s="19" t="str">
        <f t="shared" si="1"/>
        <v/>
      </c>
      <c r="J34" s="18" t="str">
        <f t="array" ref="J34">IFERROR(INDEX($A$3:$A$42, MATCH(0, COUNTIF($J$2:J33, $A$3:$A$42&amp;"") + IF($A$3:$A$42="",1,0), 0)), "")</f>
        <v/>
      </c>
      <c r="K34" s="1" t="str">
        <f>IF($J34="","",ConcatIf($A$3:$A$42,$J34,$G$3:$G$42," ; "))</f>
        <v/>
      </c>
    </row>
    <row r="35" spans="1:11" x14ac:dyDescent="0.25">
      <c r="A35" s="1" t="str">
        <f t="shared" si="2"/>
        <v/>
      </c>
      <c r="D35" s="5" t="str">
        <f t="shared" si="3"/>
        <v/>
      </c>
      <c r="F35" s="2" t="str">
        <f t="shared" si="0"/>
        <v/>
      </c>
      <c r="I35" s="19" t="str">
        <f t="shared" si="1"/>
        <v/>
      </c>
      <c r="J35" s="18" t="str">
        <f t="array" ref="J35">IFERROR(INDEX($A$3:$A$42, MATCH(0, COUNTIF($J$2:J34, $A$3:$A$42&amp;"") + IF($A$3:$A$42="",1,0), 0)), "")</f>
        <v/>
      </c>
      <c r="K35" s="1" t="str">
        <f>IF($J35="","",ConcatIf($A$3:$A$42,$J35,$G$3:$G$42," ; "))</f>
        <v/>
      </c>
    </row>
    <row r="36" spans="1:11" x14ac:dyDescent="0.25">
      <c r="A36" s="1" t="str">
        <f t="shared" si="2"/>
        <v/>
      </c>
      <c r="D36" s="5" t="str">
        <f t="shared" si="3"/>
        <v/>
      </c>
      <c r="F36" s="2" t="str">
        <f t="shared" si="0"/>
        <v/>
      </c>
      <c r="I36" s="19" t="str">
        <f t="shared" si="1"/>
        <v/>
      </c>
      <c r="J36" s="18" t="str">
        <f t="array" ref="J36">IFERROR(INDEX($A$3:$A$42, MATCH(0, COUNTIF($J$2:J35, $A$3:$A$42&amp;"") + IF($A$3:$A$42="",1,0), 0)), "")</f>
        <v/>
      </c>
      <c r="K36" s="1" t="str">
        <f>IF($J36="","",ConcatIf($A$3:$A$42,$J36,$G$3:$G$42," ; "))</f>
        <v/>
      </c>
    </row>
    <row r="37" spans="1:11" x14ac:dyDescent="0.25">
      <c r="A37" s="1" t="str">
        <f t="shared" si="2"/>
        <v/>
      </c>
      <c r="D37" s="5" t="str">
        <f t="shared" si="3"/>
        <v/>
      </c>
      <c r="F37" s="2" t="str">
        <f t="shared" si="0"/>
        <v/>
      </c>
      <c r="I37" s="19" t="str">
        <f t="shared" si="1"/>
        <v/>
      </c>
      <c r="J37" s="18" t="str">
        <f t="array" ref="J37">IFERROR(INDEX($A$3:$A$42, MATCH(0, COUNTIF($J$2:J36, $A$3:$A$42&amp;"") + IF($A$3:$A$42="",1,0), 0)), "")</f>
        <v/>
      </c>
      <c r="K37" s="1" t="str">
        <f>IF($J37="","",ConcatIf($A$3:$A$42,$J37,$G$3:$G$42," ; "))</f>
        <v/>
      </c>
    </row>
    <row r="38" spans="1:11" x14ac:dyDescent="0.25">
      <c r="A38" s="1" t="str">
        <f t="shared" si="2"/>
        <v/>
      </c>
      <c r="D38" s="5" t="str">
        <f t="shared" si="3"/>
        <v/>
      </c>
      <c r="F38" s="2" t="str">
        <f t="shared" si="0"/>
        <v/>
      </c>
      <c r="I38" s="19" t="str">
        <f t="shared" si="1"/>
        <v/>
      </c>
      <c r="J38" s="18" t="str">
        <f t="array" ref="J38">IFERROR(INDEX($A$3:$A$42, MATCH(0, COUNTIF($J$2:J37, $A$3:$A$42&amp;"") + IF($A$3:$A$42="",1,0), 0)), "")</f>
        <v/>
      </c>
      <c r="K38" s="1" t="str">
        <f>IF($J38="","",ConcatIf($A$3:$A$42,$J38,$G$3:$G$42," ; "))</f>
        <v/>
      </c>
    </row>
    <row r="39" spans="1:11" x14ac:dyDescent="0.25">
      <c r="A39" s="1" t="str">
        <f t="shared" si="2"/>
        <v/>
      </c>
      <c r="D39" s="5" t="str">
        <f t="shared" si="3"/>
        <v/>
      </c>
      <c r="F39" s="2" t="str">
        <f t="shared" si="0"/>
        <v/>
      </c>
      <c r="I39" s="19" t="str">
        <f t="shared" si="1"/>
        <v/>
      </c>
      <c r="J39" s="18" t="str">
        <f t="array" ref="J39">IFERROR(INDEX($A$3:$A$42, MATCH(0, COUNTIF($J$2:J38, $A$3:$A$42&amp;"") + IF($A$3:$A$42="",1,0), 0)), "")</f>
        <v/>
      </c>
      <c r="K39" s="1" t="str">
        <f>IF($J39="","",ConcatIf($A$3:$A$42,$J39,$G$3:$G$42," ; "))</f>
        <v/>
      </c>
    </row>
    <row r="40" spans="1:11" x14ac:dyDescent="0.25">
      <c r="A40" s="1" t="str">
        <f t="shared" si="2"/>
        <v/>
      </c>
      <c r="D40" s="5" t="str">
        <f t="shared" si="3"/>
        <v/>
      </c>
      <c r="F40" s="2" t="str">
        <f t="shared" si="0"/>
        <v/>
      </c>
      <c r="I40" s="19" t="str">
        <f t="shared" si="1"/>
        <v/>
      </c>
      <c r="J40" s="18" t="str">
        <f t="array" ref="J40">IFERROR(INDEX($A$3:$A$42, MATCH(0, COUNTIF($J$2:J39, $A$3:$A$42&amp;"") + IF($A$3:$A$42="",1,0), 0)), "")</f>
        <v/>
      </c>
      <c r="K40" s="1" t="str">
        <f>IF($J40="","",ConcatIf($A$3:$A$42,$J40,$G$3:$G$42," ; "))</f>
        <v/>
      </c>
    </row>
    <row r="41" spans="1:11" x14ac:dyDescent="0.25">
      <c r="J41" s="3"/>
      <c r="K41" s="1"/>
    </row>
    <row r="42" spans="1:11" x14ac:dyDescent="0.25">
      <c r="J42" s="1"/>
      <c r="K42" s="1"/>
    </row>
    <row r="43" spans="1:11" x14ac:dyDescent="0.25">
      <c r="D43" s="10"/>
    </row>
    <row r="44" spans="1:11" x14ac:dyDescent="0.25">
      <c r="K44" s="1"/>
    </row>
    <row r="45" spans="1:11" x14ac:dyDescent="0.25">
      <c r="K45" s="1"/>
    </row>
    <row r="46" spans="1:11" x14ac:dyDescent="0.25">
      <c r="J46" s="1"/>
      <c r="K46" s="1"/>
    </row>
    <row r="47" spans="1:11" x14ac:dyDescent="0.25">
      <c r="J47" s="1"/>
      <c r="K47" s="1"/>
    </row>
    <row r="48" spans="1:11" x14ac:dyDescent="0.25">
      <c r="K48" s="11"/>
    </row>
    <row r="49" spans="11:11" x14ac:dyDescent="0.25">
      <c r="K49" s="11"/>
    </row>
    <row r="50" spans="11:11" x14ac:dyDescent="0.25">
      <c r="K50" s="11"/>
    </row>
    <row r="51" spans="11:11" x14ac:dyDescent="0.25">
      <c r="K51" s="11"/>
    </row>
    <row r="52" spans="11:11" x14ac:dyDescent="0.25">
      <c r="K52" s="11"/>
    </row>
    <row r="53" spans="11:11" x14ac:dyDescent="0.25">
      <c r="K53" s="11"/>
    </row>
    <row r="54" spans="11:11" x14ac:dyDescent="0.25">
      <c r="K54" s="11" t="str">
        <f>IFERROR(INDEX($K$3:$K$37, MATCH(0, COUNTIF($K$46:K53, $K$3:$K$37&amp;"") + IF($K$3:$K$37="",1,0), 0)), "")</f>
        <v/>
      </c>
    </row>
    <row r="55" spans="11:11" x14ac:dyDescent="0.25">
      <c r="K55" s="11"/>
    </row>
    <row r="56" spans="11:11" x14ac:dyDescent="0.25">
      <c r="K56" s="11"/>
    </row>
    <row r="57" spans="11:11" x14ac:dyDescent="0.25">
      <c r="K57" s="11"/>
    </row>
    <row r="58" spans="11:11" x14ac:dyDescent="0.25">
      <c r="K58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41"/>
  <sheetViews>
    <sheetView workbookViewId="0">
      <pane ySplit="2" topLeftCell="A3" activePane="bottomLeft" state="frozen"/>
      <selection pane="bottomLeft" sqref="A1:A1048576"/>
    </sheetView>
  </sheetViews>
  <sheetFormatPr defaultRowHeight="15" x14ac:dyDescent="0.25"/>
  <cols>
    <col min="1" max="1" width="10.5703125" style="1" hidden="1" customWidth="1"/>
    <col min="2" max="2" width="15.7109375" style="1" bestFit="1" customWidth="1"/>
    <col min="3" max="3" width="20" bestFit="1" customWidth="1"/>
    <col min="4" max="5" width="11.5703125" style="5" bestFit="1" customWidth="1"/>
    <col min="6" max="6" width="7.7109375" style="15" bestFit="1" customWidth="1"/>
    <col min="7" max="7" width="32.42578125" style="12" customWidth="1"/>
    <col min="8" max="8" width="43.85546875" style="12" customWidth="1"/>
    <col min="10" max="10" width="30.7109375" bestFit="1" customWidth="1"/>
    <col min="11" max="11" width="35.5703125" customWidth="1"/>
  </cols>
  <sheetData>
    <row r="1" spans="1:13" s="1" customFormat="1" x14ac:dyDescent="0.25">
      <c r="C1" s="10" t="s">
        <v>43</v>
      </c>
      <c r="D1" s="5"/>
      <c r="E1" s="17">
        <f>SUM($I$2:$I40)</f>
        <v>0</v>
      </c>
      <c r="F1" s="17"/>
      <c r="G1" s="26" t="s">
        <v>44</v>
      </c>
      <c r="H1" s="17">
        <f>SUM('05-06 Mon'!H1,E1)</f>
        <v>0</v>
      </c>
    </row>
    <row r="2" spans="1:13" x14ac:dyDescent="0.25">
      <c r="A2" s="22" t="s">
        <v>47</v>
      </c>
      <c r="B2" s="22" t="s">
        <v>45</v>
      </c>
      <c r="C2" s="22" t="s">
        <v>6</v>
      </c>
      <c r="D2" s="23" t="s">
        <v>0</v>
      </c>
      <c r="E2" s="23" t="s">
        <v>1</v>
      </c>
      <c r="F2" s="23" t="s">
        <v>2</v>
      </c>
      <c r="G2" s="24" t="s">
        <v>3</v>
      </c>
      <c r="H2" s="25" t="s">
        <v>28</v>
      </c>
      <c r="I2" s="22" t="s">
        <v>2</v>
      </c>
      <c r="J2" s="22" t="s">
        <v>47</v>
      </c>
      <c r="K2" s="24" t="s">
        <v>3</v>
      </c>
    </row>
    <row r="3" spans="1:13" s="1" customFormat="1" x14ac:dyDescent="0.25">
      <c r="A3" s="1" t="str">
        <f>IF(ISBLANK(C3),IF(ISBLANK(B3),"",B3),_xlfn.CONCAT(B3,"-",C3))</f>
        <v/>
      </c>
      <c r="D3" s="5"/>
      <c r="E3" s="5"/>
      <c r="F3" s="2" t="str">
        <f t="shared" ref="F3:F40" si="0">IF(OR(ISBLANK(E3),ISBLANK(D3),ISBLANK(A3)),"",(E3-D3)*24)</f>
        <v/>
      </c>
      <c r="I3" s="19" t="str">
        <f t="shared" ref="I3:I40" si="1">IF($J3="","",MROUND(SUMIF(A:A,"="&amp;J3,F:F),0.25))</f>
        <v/>
      </c>
      <c r="J3" s="18" t="str">
        <f t="array" ref="J3">IFERROR(INDEX($A$3:$A$42, MATCH(0, COUNTIF($J$2:J2, $A$3:$A$42&amp;"") + IF($A$3:$A$42="",1,0), 0)), "")</f>
        <v/>
      </c>
      <c r="K3" s="1" t="str">
        <f>IF($J3="","",ConcatIf($A$3:$A$42,$J3,$G$3:$G$42," ; "))</f>
        <v/>
      </c>
    </row>
    <row r="4" spans="1:13" x14ac:dyDescent="0.25">
      <c r="A4" s="1" t="str">
        <f t="shared" ref="A4:A40" si="2">IF(ISBLANK(C4),IF(ISBLANK(B4),"",B4),_xlfn.CONCAT(B4,"-",C4))</f>
        <v/>
      </c>
      <c r="C4" s="1"/>
      <c r="D4" s="5" t="str">
        <f>IF(ISBLANK(E3),"",E3)</f>
        <v/>
      </c>
      <c r="F4" s="2" t="str">
        <f t="shared" si="0"/>
        <v/>
      </c>
      <c r="G4" s="1"/>
      <c r="H4" s="13"/>
      <c r="I4" s="19" t="str">
        <f t="shared" si="1"/>
        <v/>
      </c>
      <c r="J4" s="18" t="str">
        <f t="array" ref="J4">IFERROR(INDEX($A$3:$A$42, MATCH(0, COUNTIF($J$2:J3, $A$3:$A$42&amp;"") + IF($A$3:$A$42="",1,0), 0)), "")</f>
        <v/>
      </c>
      <c r="K4" s="1" t="str">
        <f>IF($J4="","",ConcatIf($A$3:$A$42,$J4,$G$3:$G$42," ; "))</f>
        <v/>
      </c>
    </row>
    <row r="5" spans="1:13" x14ac:dyDescent="0.25">
      <c r="A5" s="1" t="str">
        <f t="shared" si="2"/>
        <v/>
      </c>
      <c r="C5" s="1"/>
      <c r="D5" s="5" t="str">
        <f t="shared" ref="D5:D40" si="3">IF(ISBLANK(E4),"",E4)</f>
        <v/>
      </c>
      <c r="F5" s="2" t="str">
        <f t="shared" si="0"/>
        <v/>
      </c>
      <c r="G5" s="1"/>
      <c r="H5" s="13"/>
      <c r="I5" s="19" t="str">
        <f t="shared" si="1"/>
        <v/>
      </c>
      <c r="J5" s="18" t="str">
        <f t="array" ref="J5">IFERROR(INDEX($A$3:$A$42, MATCH(0, COUNTIF($J$2:J4, $A$3:$A$42&amp;"") + IF($A$3:$A$42="",1,0), 0)), "")</f>
        <v/>
      </c>
      <c r="K5" s="1" t="str">
        <f>IF($J5="","",ConcatIf($A$3:$A$42,$J5,$G$3:$G$42," ; "))</f>
        <v/>
      </c>
    </row>
    <row r="6" spans="1:13" s="1" customFormat="1" x14ac:dyDescent="0.25">
      <c r="A6" s="1" t="str">
        <f t="shared" si="2"/>
        <v/>
      </c>
      <c r="D6" s="5" t="str">
        <f t="shared" si="3"/>
        <v/>
      </c>
      <c r="E6" s="5"/>
      <c r="F6" s="2" t="str">
        <f t="shared" si="0"/>
        <v/>
      </c>
      <c r="H6" s="13"/>
      <c r="I6" s="19" t="str">
        <f t="shared" si="1"/>
        <v/>
      </c>
      <c r="J6" s="18" t="str">
        <f t="array" ref="J6">IFERROR(INDEX($A$3:$A$42, MATCH(0, COUNTIF($J$2:J5, $A$3:$A$42&amp;"") + IF($A$3:$A$42="",1,0), 0)), "")</f>
        <v/>
      </c>
      <c r="K6" s="1" t="str">
        <f>IF($J6="","",ConcatIf($A$3:$A$42,$J6,$G$3:$G$42," ; "))</f>
        <v/>
      </c>
    </row>
    <row r="7" spans="1:13" s="1" customFormat="1" x14ac:dyDescent="0.25">
      <c r="A7" s="1" t="str">
        <f t="shared" si="2"/>
        <v/>
      </c>
      <c r="D7" s="5" t="str">
        <f t="shared" si="3"/>
        <v/>
      </c>
      <c r="E7" s="5"/>
      <c r="F7" s="2" t="str">
        <f t="shared" si="0"/>
        <v/>
      </c>
      <c r="H7" s="13"/>
      <c r="I7" s="19" t="str">
        <f t="shared" si="1"/>
        <v/>
      </c>
      <c r="J7" s="18" t="str">
        <f t="array" ref="J7">IFERROR(INDEX($A$3:$A$42, MATCH(0, COUNTIF($J$2:J6, $A$3:$A$42&amp;"") + IF($A$3:$A$42="",1,0), 0)), "")</f>
        <v/>
      </c>
      <c r="K7" s="1" t="str">
        <f>IF($J7="","",ConcatIf($A$3:$A$42,$J7,$G$3:$G$42," ; "))</f>
        <v/>
      </c>
    </row>
    <row r="8" spans="1:13" x14ac:dyDescent="0.25">
      <c r="A8" s="1" t="str">
        <f t="shared" si="2"/>
        <v/>
      </c>
      <c r="C8" s="1"/>
      <c r="D8" s="5" t="str">
        <f t="shared" si="3"/>
        <v/>
      </c>
      <c r="F8" s="2" t="str">
        <f t="shared" si="0"/>
        <v/>
      </c>
      <c r="G8" s="1"/>
      <c r="H8" s="13"/>
      <c r="I8" s="19" t="str">
        <f t="shared" si="1"/>
        <v/>
      </c>
      <c r="J8" s="18" t="str">
        <f t="array" ref="J8">IFERROR(INDEX($A$3:$A$42, MATCH(0, COUNTIF($J$2:J7, $A$3:$A$42&amp;"") + IF($A$3:$A$42="",1,0), 0)), "")</f>
        <v/>
      </c>
      <c r="K8" s="1" t="str">
        <f>IF($J8="","",ConcatIf($A$3:$A$42,$J8,$G$3:$G$42," ; "))</f>
        <v/>
      </c>
      <c r="L8" s="1"/>
      <c r="M8" s="1"/>
    </row>
    <row r="9" spans="1:13" s="1" customFormat="1" x14ac:dyDescent="0.25">
      <c r="A9" s="1" t="str">
        <f t="shared" si="2"/>
        <v/>
      </c>
      <c r="D9" s="5" t="str">
        <f t="shared" si="3"/>
        <v/>
      </c>
      <c r="E9" s="5"/>
      <c r="F9" s="2" t="str">
        <f t="shared" si="0"/>
        <v/>
      </c>
      <c r="H9" s="14"/>
      <c r="I9" s="19" t="str">
        <f t="shared" si="1"/>
        <v/>
      </c>
      <c r="J9" s="18" t="str">
        <f t="array" ref="J9">IFERROR(INDEX($A$3:$A$42, MATCH(0, COUNTIF($J$2:J8, $A$3:$A$42&amp;"") + IF($A$3:$A$42="",1,0), 0)), "")</f>
        <v/>
      </c>
      <c r="K9" s="1" t="str">
        <f>IF($J9="","",ConcatIf($A$3:$A$42,$J9,$G$3:$G$42," ; "))</f>
        <v/>
      </c>
    </row>
    <row r="10" spans="1:13" s="1" customFormat="1" x14ac:dyDescent="0.25">
      <c r="A10" s="1" t="str">
        <f t="shared" si="2"/>
        <v/>
      </c>
      <c r="D10" s="5" t="str">
        <f t="shared" si="3"/>
        <v/>
      </c>
      <c r="E10" s="5"/>
      <c r="F10" s="2" t="str">
        <f t="shared" si="0"/>
        <v/>
      </c>
      <c r="H10" s="13"/>
      <c r="I10" s="19" t="str">
        <f t="shared" si="1"/>
        <v/>
      </c>
      <c r="J10" s="18" t="str">
        <f t="array" ref="J10">IFERROR(INDEX($A$3:$A$42, MATCH(0, COUNTIF($J$2:J9, $A$3:$A$42&amp;"") + IF($A$3:$A$42="",1,0), 0)), "")</f>
        <v/>
      </c>
      <c r="K10" s="1" t="str">
        <f>IF($J10="","",ConcatIf($A$3:$A$42,$J10,$G$3:$G$42," ; "))</f>
        <v/>
      </c>
    </row>
    <row r="11" spans="1:13" s="1" customFormat="1" x14ac:dyDescent="0.25">
      <c r="A11" s="1" t="str">
        <f t="shared" si="2"/>
        <v/>
      </c>
      <c r="D11" s="5" t="str">
        <f t="shared" si="3"/>
        <v/>
      </c>
      <c r="E11" s="5"/>
      <c r="F11" s="2" t="str">
        <f t="shared" si="0"/>
        <v/>
      </c>
      <c r="G11" s="12"/>
      <c r="H11" s="13"/>
      <c r="I11" s="19" t="str">
        <f t="shared" si="1"/>
        <v/>
      </c>
      <c r="J11" s="18" t="str">
        <f t="array" ref="J11">IFERROR(INDEX($A$3:$A$42, MATCH(0, COUNTIF($J$2:J10, $A$3:$A$42&amp;"") + IF($A$3:$A$42="",1,0), 0)), "")</f>
        <v/>
      </c>
      <c r="K11" s="1" t="str">
        <f>IF($J11="","",ConcatIf($A$3:$A$42,$J11,$G$3:$G$42," ; "))</f>
        <v/>
      </c>
    </row>
    <row r="12" spans="1:13" x14ac:dyDescent="0.25">
      <c r="A12" s="1" t="str">
        <f t="shared" si="2"/>
        <v/>
      </c>
      <c r="C12" s="1"/>
      <c r="D12" s="5" t="str">
        <f t="shared" si="3"/>
        <v/>
      </c>
      <c r="F12" s="2" t="str">
        <f t="shared" si="0"/>
        <v/>
      </c>
      <c r="H12" s="13"/>
      <c r="I12" s="19" t="str">
        <f t="shared" si="1"/>
        <v/>
      </c>
      <c r="J12" s="18" t="str">
        <f t="array" ref="J12">IFERROR(INDEX($A$3:$A$42, MATCH(0, COUNTIF($J$2:J11, $A$3:$A$42&amp;"") + IF($A$3:$A$42="",1,0), 0)), "")</f>
        <v/>
      </c>
      <c r="K12" s="1" t="str">
        <f>IF($J12="","",ConcatIf($A$3:$A$42,$J12,$G$3:$G$42," ; "))</f>
        <v/>
      </c>
    </row>
    <row r="13" spans="1:13" x14ac:dyDescent="0.25">
      <c r="A13" s="1" t="str">
        <f t="shared" si="2"/>
        <v/>
      </c>
      <c r="C13" s="1"/>
      <c r="D13" s="5" t="str">
        <f t="shared" si="3"/>
        <v/>
      </c>
      <c r="F13" s="2" t="str">
        <f t="shared" si="0"/>
        <v/>
      </c>
      <c r="H13" s="13"/>
      <c r="I13" s="19" t="str">
        <f t="shared" si="1"/>
        <v/>
      </c>
      <c r="J13" s="18" t="str">
        <f t="array" ref="J13">IFERROR(INDEX($A$3:$A$42, MATCH(0, COUNTIF($J$2:J12, $A$3:$A$42&amp;"") + IF($A$3:$A$42="",1,0), 0)), "")</f>
        <v/>
      </c>
      <c r="K13" s="1" t="str">
        <f>IF($J13="","",ConcatIf($A$3:$A$42,$J13,$G$3:$G$42," ; "))</f>
        <v/>
      </c>
    </row>
    <row r="14" spans="1:13" x14ac:dyDescent="0.25">
      <c r="A14" s="1" t="str">
        <f t="shared" si="2"/>
        <v/>
      </c>
      <c r="C14" s="1"/>
      <c r="D14" s="5" t="str">
        <f t="shared" si="3"/>
        <v/>
      </c>
      <c r="F14" s="2" t="str">
        <f t="shared" si="0"/>
        <v/>
      </c>
      <c r="H14" s="13"/>
      <c r="I14" s="19" t="str">
        <f t="shared" si="1"/>
        <v/>
      </c>
      <c r="J14" s="18" t="str">
        <f t="array" ref="J14">IFERROR(INDEX($A$3:$A$42, MATCH(0, COUNTIF($J$2:J13, $A$3:$A$42&amp;"") + IF($A$3:$A$42="",1,0), 0)), "")</f>
        <v/>
      </c>
      <c r="K14" s="1" t="str">
        <f>IF($J14="","",ConcatIf($A$3:$A$42,$J14,$G$3:$G$42," ; "))</f>
        <v/>
      </c>
    </row>
    <row r="15" spans="1:13" x14ac:dyDescent="0.25">
      <c r="A15" s="1" t="str">
        <f t="shared" si="2"/>
        <v/>
      </c>
      <c r="C15" s="1"/>
      <c r="D15" s="5" t="str">
        <f t="shared" si="3"/>
        <v/>
      </c>
      <c r="F15" s="2" t="str">
        <f t="shared" si="0"/>
        <v/>
      </c>
      <c r="H15" s="13"/>
      <c r="I15" s="19" t="str">
        <f t="shared" si="1"/>
        <v/>
      </c>
      <c r="J15" s="18" t="str">
        <f t="array" ref="J15">IFERROR(INDEX($A$3:$A$42, MATCH(0, COUNTIF($J$2:J14, $A$3:$A$42&amp;"") + IF($A$3:$A$42="",1,0), 0)), "")</f>
        <v/>
      </c>
      <c r="K15" s="1" t="str">
        <f>IF($J15="","",ConcatIf($A$3:$A$42,$J15,$G$3:$G$42," ; "))</f>
        <v/>
      </c>
    </row>
    <row r="16" spans="1:13" s="21" customFormat="1" ht="30" customHeight="1" x14ac:dyDescent="0.25">
      <c r="A16" s="1" t="str">
        <f t="shared" si="2"/>
        <v/>
      </c>
      <c r="B16" s="1"/>
      <c r="C16" s="1"/>
      <c r="D16" s="5" t="str">
        <f t="shared" si="3"/>
        <v/>
      </c>
      <c r="E16" s="5"/>
      <c r="F16" s="2" t="str">
        <f t="shared" si="0"/>
        <v/>
      </c>
      <c r="G16" s="12"/>
      <c r="H16" s="13"/>
      <c r="I16" s="19" t="str">
        <f t="shared" si="1"/>
        <v/>
      </c>
      <c r="J16" s="18" t="str">
        <f t="array" ref="J16">IFERROR(INDEX($A$3:$A$42, MATCH(0, COUNTIF($J$2:J15, $A$3:$A$42&amp;"") + IF($A$3:$A$42="",1,0), 0)), "")</f>
        <v/>
      </c>
      <c r="K16" s="1" t="str">
        <f>IF($J16="","",ConcatIf($A$3:$A$42,$J16,$G$3:$G$42," ; "))</f>
        <v/>
      </c>
    </row>
    <row r="17" spans="1:11" x14ac:dyDescent="0.25">
      <c r="A17" s="1" t="str">
        <f t="shared" si="2"/>
        <v/>
      </c>
      <c r="C17" s="1"/>
      <c r="D17" s="5" t="str">
        <f t="shared" si="3"/>
        <v/>
      </c>
      <c r="F17" s="2" t="str">
        <f t="shared" si="0"/>
        <v/>
      </c>
      <c r="H17" s="13"/>
      <c r="I17" s="19" t="str">
        <f t="shared" si="1"/>
        <v/>
      </c>
      <c r="J17" s="18" t="str">
        <f t="array" ref="J17">IFERROR(INDEX($A$3:$A$42, MATCH(0, COUNTIF($J$2:J16, $A$3:$A$42&amp;"") + IF($A$3:$A$42="",1,0), 0)), "")</f>
        <v/>
      </c>
      <c r="K17" s="1" t="str">
        <f>IF($J17="","",ConcatIf($A$3:$A$42,$J17,$G$3:$G$42," ; "))</f>
        <v/>
      </c>
    </row>
    <row r="18" spans="1:11" x14ac:dyDescent="0.25">
      <c r="A18" s="1" t="str">
        <f t="shared" si="2"/>
        <v/>
      </c>
      <c r="C18" s="1"/>
      <c r="D18" s="5" t="str">
        <f t="shared" si="3"/>
        <v/>
      </c>
      <c r="F18" s="2" t="str">
        <f t="shared" si="0"/>
        <v/>
      </c>
      <c r="H18" s="13"/>
      <c r="I18" s="19" t="str">
        <f t="shared" si="1"/>
        <v/>
      </c>
      <c r="J18" s="18" t="str">
        <f t="array" ref="J18">IFERROR(INDEX($A$3:$A$42, MATCH(0, COUNTIF($J$2:J17, $A$3:$A$42&amp;"") + IF($A$3:$A$42="",1,0), 0)), "")</f>
        <v/>
      </c>
      <c r="K18" s="1" t="str">
        <f>IF($J18="","",ConcatIf($A$3:$A$42,$J18,$G$3:$G$42," ; "))</f>
        <v/>
      </c>
    </row>
    <row r="19" spans="1:11" x14ac:dyDescent="0.25">
      <c r="A19" s="1" t="str">
        <f t="shared" si="2"/>
        <v/>
      </c>
      <c r="B19" s="12"/>
      <c r="C19" s="1"/>
      <c r="D19" s="5" t="str">
        <f t="shared" si="3"/>
        <v/>
      </c>
      <c r="F19" s="2" t="str">
        <f t="shared" si="0"/>
        <v/>
      </c>
      <c r="H19" s="13"/>
      <c r="I19" s="19" t="str">
        <f t="shared" si="1"/>
        <v/>
      </c>
      <c r="J19" s="18" t="str">
        <f t="array" ref="J19">IFERROR(INDEX($A$3:$A$42, MATCH(0, COUNTIF($J$2:J18, $A$3:$A$42&amp;"") + IF($A$3:$A$42="",1,0), 0)), "")</f>
        <v/>
      </c>
      <c r="K19" s="1" t="str">
        <f>IF($J19="","",ConcatIf($A$3:$A$42,$J19,$G$3:$G$42," ; "))</f>
        <v/>
      </c>
    </row>
    <row r="20" spans="1:11" ht="18" customHeight="1" x14ac:dyDescent="0.25">
      <c r="A20" s="1" t="str">
        <f t="shared" si="2"/>
        <v/>
      </c>
      <c r="C20" s="1"/>
      <c r="D20" s="5" t="str">
        <f t="shared" si="3"/>
        <v/>
      </c>
      <c r="F20" s="2" t="str">
        <f t="shared" si="0"/>
        <v/>
      </c>
      <c r="H20" s="13"/>
      <c r="I20" s="19" t="str">
        <f t="shared" si="1"/>
        <v/>
      </c>
      <c r="J20" s="18" t="str">
        <f t="array" ref="J20">IFERROR(INDEX($A$3:$A$42, MATCH(0, COUNTIF($J$2:J19, $A$3:$A$42&amp;"") + IF($A$3:$A$42="",1,0), 0)), "")</f>
        <v/>
      </c>
      <c r="K20" s="1" t="str">
        <f>IF($J20="","",ConcatIf($A$3:$A$42,$J20,$G$3:$G$42," ; "))</f>
        <v/>
      </c>
    </row>
    <row r="21" spans="1:11" x14ac:dyDescent="0.25">
      <c r="A21" s="1" t="str">
        <f t="shared" si="2"/>
        <v/>
      </c>
      <c r="C21" s="1"/>
      <c r="D21" s="5" t="str">
        <f t="shared" si="3"/>
        <v/>
      </c>
      <c r="F21" s="2" t="str">
        <f t="shared" si="0"/>
        <v/>
      </c>
      <c r="H21" s="13"/>
      <c r="I21" s="19" t="str">
        <f t="shared" si="1"/>
        <v/>
      </c>
      <c r="J21" s="18" t="str">
        <f t="array" ref="J21">IFERROR(INDEX($A$3:$A$42, MATCH(0, COUNTIF($J$2:J20, $A$3:$A$42&amp;"") + IF($A$3:$A$42="",1,0), 0)), "")</f>
        <v/>
      </c>
      <c r="K21" s="1" t="str">
        <f>IF($J21="","",ConcatIf($A$3:$A$42,$J21,$G$3:$G$42," ; "))</f>
        <v/>
      </c>
    </row>
    <row r="22" spans="1:11" x14ac:dyDescent="0.25">
      <c r="A22" s="1" t="str">
        <f t="shared" si="2"/>
        <v/>
      </c>
      <c r="C22" s="1"/>
      <c r="D22" s="5" t="str">
        <f t="shared" si="3"/>
        <v/>
      </c>
      <c r="F22" s="2" t="str">
        <f t="shared" si="0"/>
        <v/>
      </c>
      <c r="H22" s="13"/>
      <c r="I22" s="19" t="str">
        <f t="shared" si="1"/>
        <v/>
      </c>
      <c r="J22" s="18" t="str">
        <f t="array" ref="J22">IFERROR(INDEX($A$3:$A$42, MATCH(0, COUNTIF($J$2:J21, $A$3:$A$42&amp;"") + IF($A$3:$A$42="",1,0), 0)), "")</f>
        <v/>
      </c>
      <c r="K22" s="1" t="str">
        <f>IF($J22="","",ConcatIf($A$3:$A$42,$J22,$G$3:$G$42," ; "))</f>
        <v/>
      </c>
    </row>
    <row r="23" spans="1:11" x14ac:dyDescent="0.25">
      <c r="A23" s="1" t="str">
        <f t="shared" si="2"/>
        <v/>
      </c>
      <c r="C23" s="1"/>
      <c r="D23" s="5" t="str">
        <f t="shared" si="3"/>
        <v/>
      </c>
      <c r="F23" s="2" t="str">
        <f t="shared" si="0"/>
        <v/>
      </c>
      <c r="I23" s="19" t="str">
        <f t="shared" si="1"/>
        <v/>
      </c>
      <c r="J23" s="18" t="str">
        <f t="array" ref="J23">IFERROR(INDEX($A$3:$A$42, MATCH(0, COUNTIF($J$2:J22, $A$3:$A$42&amp;"") + IF($A$3:$A$42="",1,0), 0)), "")</f>
        <v/>
      </c>
      <c r="K23" s="1" t="str">
        <f>IF($J23="","",ConcatIf($A$3:$A$42,$J23,$G$3:$G$42," ; "))</f>
        <v/>
      </c>
    </row>
    <row r="24" spans="1:11" x14ac:dyDescent="0.25">
      <c r="A24" s="1" t="str">
        <f t="shared" si="2"/>
        <v/>
      </c>
      <c r="B24" s="5"/>
      <c r="C24" s="5"/>
      <c r="D24" s="5" t="str">
        <f t="shared" si="3"/>
        <v/>
      </c>
      <c r="E24" s="16"/>
      <c r="F24" s="2" t="str">
        <f t="shared" si="0"/>
        <v/>
      </c>
      <c r="H24" s="1"/>
      <c r="I24" s="19" t="str">
        <f t="shared" si="1"/>
        <v/>
      </c>
      <c r="J24" s="18" t="str">
        <f t="array" ref="J24">IFERROR(INDEX($A$3:$A$42, MATCH(0, COUNTIF($J$2:J23, $A$3:$A$42&amp;"") + IF($A$3:$A$42="",1,0), 0)), "")</f>
        <v/>
      </c>
      <c r="K24" s="1" t="str">
        <f>IF($J24="","",ConcatIf($A$3:$A$42,$J24,$G$3:$G$42," ; "))</f>
        <v/>
      </c>
    </row>
    <row r="25" spans="1:11" x14ac:dyDescent="0.25">
      <c r="A25" s="1" t="str">
        <f t="shared" si="2"/>
        <v/>
      </c>
      <c r="C25" s="1"/>
      <c r="D25" s="5" t="str">
        <f t="shared" si="3"/>
        <v/>
      </c>
      <c r="E25" s="16"/>
      <c r="F25" s="2" t="str">
        <f t="shared" si="0"/>
        <v/>
      </c>
      <c r="I25" s="19" t="str">
        <f t="shared" si="1"/>
        <v/>
      </c>
      <c r="J25" s="18" t="str">
        <f t="array" ref="J25">IFERROR(INDEX($A$3:$A$42, MATCH(0, COUNTIF($J$2:J24, $A$3:$A$42&amp;"") + IF($A$3:$A$42="",1,0), 0)), "")</f>
        <v/>
      </c>
      <c r="K25" s="1" t="str">
        <f>IF($J25="","",ConcatIf($A$3:$A$42,$J25,$G$3:$G$42," ; "))</f>
        <v/>
      </c>
    </row>
    <row r="26" spans="1:11" x14ac:dyDescent="0.25">
      <c r="A26" s="1" t="str">
        <f t="shared" si="2"/>
        <v/>
      </c>
      <c r="C26" s="1"/>
      <c r="D26" s="5" t="str">
        <f t="shared" si="3"/>
        <v/>
      </c>
      <c r="E26" s="16"/>
      <c r="F26" s="2" t="str">
        <f t="shared" si="0"/>
        <v/>
      </c>
      <c r="I26" s="19" t="str">
        <f t="shared" si="1"/>
        <v/>
      </c>
      <c r="J26" s="18" t="str">
        <f t="array" ref="J26">IFERROR(INDEX($A$3:$A$42, MATCH(0, COUNTIF($J$2:J25, $A$3:$A$42&amp;"") + IF($A$3:$A$42="",1,0), 0)), "")</f>
        <v/>
      </c>
      <c r="K26" s="1" t="str">
        <f>IF($J26="","",ConcatIf($A$3:$A$42,$J26,$G$3:$G$42," ; "))</f>
        <v/>
      </c>
    </row>
    <row r="27" spans="1:11" x14ac:dyDescent="0.25">
      <c r="A27" s="1" t="str">
        <f t="shared" si="2"/>
        <v/>
      </c>
      <c r="C27" s="1"/>
      <c r="D27" s="5" t="str">
        <f t="shared" si="3"/>
        <v/>
      </c>
      <c r="E27" s="16"/>
      <c r="F27" s="2" t="str">
        <f t="shared" si="0"/>
        <v/>
      </c>
      <c r="I27" s="19" t="str">
        <f t="shared" si="1"/>
        <v/>
      </c>
      <c r="J27" s="18" t="str">
        <f t="array" ref="J27">IFERROR(INDEX($A$3:$A$42, MATCH(0, COUNTIF($J$2:J26, $A$3:$A$42&amp;"") + IF($A$3:$A$42="",1,0), 0)), "")</f>
        <v/>
      </c>
      <c r="K27" s="1" t="str">
        <f>IF($J27="","",ConcatIf($A$3:$A$42,$J27,$G$3:$G$42," ; "))</f>
        <v/>
      </c>
    </row>
    <row r="28" spans="1:11" x14ac:dyDescent="0.25">
      <c r="A28" s="1" t="str">
        <f t="shared" si="2"/>
        <v/>
      </c>
      <c r="B28" s="5"/>
      <c r="C28" s="5"/>
      <c r="D28" s="5" t="str">
        <f t="shared" si="3"/>
        <v/>
      </c>
      <c r="E28" s="16"/>
      <c r="F28" s="2" t="str">
        <f t="shared" si="0"/>
        <v/>
      </c>
      <c r="I28" s="19" t="str">
        <f t="shared" si="1"/>
        <v/>
      </c>
      <c r="J28" s="18" t="str">
        <f t="array" ref="J28">IFERROR(INDEX($A$3:$A$42, MATCH(0, COUNTIF($J$2:J27, $A$3:$A$42&amp;"") + IF($A$3:$A$42="",1,0), 0)), "")</f>
        <v/>
      </c>
      <c r="K28" s="1" t="str">
        <f>IF($J28="","",ConcatIf($A$3:$A$42,$J28,$G$3:$G$42," ; "))</f>
        <v/>
      </c>
    </row>
    <row r="29" spans="1:11" x14ac:dyDescent="0.25">
      <c r="A29" s="1" t="str">
        <f t="shared" si="2"/>
        <v/>
      </c>
      <c r="C29" s="1"/>
      <c r="D29" s="5" t="str">
        <f t="shared" si="3"/>
        <v/>
      </c>
      <c r="E29" s="16"/>
      <c r="F29" s="2" t="str">
        <f t="shared" si="0"/>
        <v/>
      </c>
      <c r="I29" s="19" t="str">
        <f t="shared" si="1"/>
        <v/>
      </c>
      <c r="J29" s="18" t="str">
        <f t="array" ref="J29">IFERROR(INDEX($A$3:$A$42, MATCH(0, COUNTIF($J$2:J28, $A$3:$A$42&amp;"") + IF($A$3:$A$42="",1,0), 0)), "")</f>
        <v/>
      </c>
      <c r="K29" s="1" t="str">
        <f>IF($J29="","",ConcatIf($A$3:$A$42,$J29,$G$3:$G$42," ; "))</f>
        <v/>
      </c>
    </row>
    <row r="30" spans="1:11" x14ac:dyDescent="0.25">
      <c r="A30" s="1" t="str">
        <f t="shared" si="2"/>
        <v/>
      </c>
      <c r="B30" s="5"/>
      <c r="C30" s="5"/>
      <c r="D30" s="5" t="str">
        <f t="shared" si="3"/>
        <v/>
      </c>
      <c r="E30" s="16"/>
      <c r="F30" s="2" t="str">
        <f t="shared" si="0"/>
        <v/>
      </c>
      <c r="I30" s="19" t="str">
        <f t="shared" si="1"/>
        <v/>
      </c>
      <c r="J30" s="18" t="str">
        <f t="array" ref="J30">IFERROR(INDEX($A$3:$A$42, MATCH(0, COUNTIF($J$2:J29, $A$3:$A$42&amp;"") + IF($A$3:$A$42="",1,0), 0)), "")</f>
        <v/>
      </c>
      <c r="K30" s="1" t="str">
        <f>IF($J30="","",ConcatIf($A$3:$A$42,$J30,$G$3:$G$42," ; "))</f>
        <v/>
      </c>
    </row>
    <row r="31" spans="1:11" x14ac:dyDescent="0.25">
      <c r="A31" s="1" t="str">
        <f t="shared" si="2"/>
        <v/>
      </c>
      <c r="C31" s="1"/>
      <c r="D31" s="5" t="str">
        <f t="shared" si="3"/>
        <v/>
      </c>
      <c r="E31" s="16"/>
      <c r="F31" s="2" t="str">
        <f t="shared" si="0"/>
        <v/>
      </c>
      <c r="I31" s="19" t="str">
        <f t="shared" si="1"/>
        <v/>
      </c>
      <c r="J31" s="18" t="str">
        <f t="array" ref="J31">IFERROR(INDEX($A$3:$A$42, MATCH(0, COUNTIF($J$2:J30, $A$3:$A$42&amp;"") + IF($A$3:$A$42="",1,0), 0)), "")</f>
        <v/>
      </c>
      <c r="K31" s="1" t="str">
        <f>IF($J31="","",ConcatIf($A$3:$A$42,$J31,$G$3:$G$42," ; "))</f>
        <v/>
      </c>
    </row>
    <row r="32" spans="1:11" x14ac:dyDescent="0.25">
      <c r="A32" s="1" t="str">
        <f t="shared" si="2"/>
        <v/>
      </c>
      <c r="B32" s="5"/>
      <c r="C32" s="5"/>
      <c r="D32" s="5" t="str">
        <f t="shared" si="3"/>
        <v/>
      </c>
      <c r="E32" s="16"/>
      <c r="F32" s="2" t="str">
        <f t="shared" si="0"/>
        <v/>
      </c>
      <c r="I32" s="19" t="str">
        <f t="shared" si="1"/>
        <v/>
      </c>
      <c r="J32" s="18" t="str">
        <f t="array" ref="J32">IFERROR(INDEX($A$3:$A$42, MATCH(0, COUNTIF($J$2:J31, $A$3:$A$42&amp;"") + IF($A$3:$A$42="",1,0), 0)), "")</f>
        <v/>
      </c>
      <c r="K32" s="1" t="str">
        <f>IF($J32="","",ConcatIf($A$3:$A$42,$J32,$G$3:$G$42," ; "))</f>
        <v/>
      </c>
    </row>
    <row r="33" spans="1:11" x14ac:dyDescent="0.25">
      <c r="A33" s="1" t="str">
        <f t="shared" si="2"/>
        <v/>
      </c>
      <c r="B33" s="5"/>
      <c r="C33" s="5"/>
      <c r="D33" s="5" t="str">
        <f t="shared" si="3"/>
        <v/>
      </c>
      <c r="E33" s="16"/>
      <c r="F33" s="2" t="str">
        <f t="shared" si="0"/>
        <v/>
      </c>
      <c r="I33" s="19" t="str">
        <f t="shared" si="1"/>
        <v/>
      </c>
      <c r="J33" s="18" t="str">
        <f t="array" ref="J33">IFERROR(INDEX($A$3:$A$42, MATCH(0, COUNTIF($J$2:J32, $A$3:$A$42&amp;"") + IF($A$3:$A$42="",1,0), 0)), "")</f>
        <v/>
      </c>
      <c r="K33" s="1" t="str">
        <f>IF($J33="","",ConcatIf($A$3:$A$42,$J33,$G$3:$G$42," ; "))</f>
        <v/>
      </c>
    </row>
    <row r="34" spans="1:11" x14ac:dyDescent="0.25">
      <c r="A34" s="1" t="str">
        <f t="shared" si="2"/>
        <v/>
      </c>
      <c r="B34" s="5"/>
      <c r="C34" s="5"/>
      <c r="D34" s="5" t="str">
        <f t="shared" si="3"/>
        <v/>
      </c>
      <c r="E34" s="16"/>
      <c r="F34" s="2" t="str">
        <f t="shared" si="0"/>
        <v/>
      </c>
      <c r="I34" s="19" t="str">
        <f t="shared" si="1"/>
        <v/>
      </c>
      <c r="J34" s="18" t="str">
        <f t="array" ref="J34">IFERROR(INDEX($A$3:$A$42, MATCH(0, COUNTIF($J$2:J33, $A$3:$A$42&amp;"") + IF($A$3:$A$42="",1,0), 0)), "")</f>
        <v/>
      </c>
      <c r="K34" s="1" t="str">
        <f>IF($J34="","",ConcatIf($A$3:$A$42,$J34,$G$3:$G$42," ; "))</f>
        <v/>
      </c>
    </row>
    <row r="35" spans="1:11" x14ac:dyDescent="0.25">
      <c r="A35" s="1" t="str">
        <f t="shared" si="2"/>
        <v/>
      </c>
      <c r="B35" s="5"/>
      <c r="C35" s="5"/>
      <c r="D35" s="5" t="str">
        <f t="shared" si="3"/>
        <v/>
      </c>
      <c r="E35" s="16"/>
      <c r="F35" s="2" t="str">
        <f t="shared" si="0"/>
        <v/>
      </c>
      <c r="I35" s="19" t="str">
        <f t="shared" si="1"/>
        <v/>
      </c>
      <c r="J35" s="18" t="str">
        <f t="array" ref="J35">IFERROR(INDEX($A$3:$A$42, MATCH(0, COUNTIF($J$2:J34, $A$3:$A$42&amp;"") + IF($A$3:$A$42="",1,0), 0)), "")</f>
        <v/>
      </c>
      <c r="K35" s="1" t="str">
        <f>IF($J35="","",ConcatIf($A$3:$A$42,$J35,$G$3:$G$42," ; "))</f>
        <v/>
      </c>
    </row>
    <row r="36" spans="1:11" x14ac:dyDescent="0.25">
      <c r="A36" s="1" t="str">
        <f t="shared" si="2"/>
        <v/>
      </c>
      <c r="B36" s="5"/>
      <c r="C36" s="5"/>
      <c r="D36" s="5" t="str">
        <f t="shared" si="3"/>
        <v/>
      </c>
      <c r="E36" s="16"/>
      <c r="F36" s="2" t="str">
        <f t="shared" si="0"/>
        <v/>
      </c>
      <c r="I36" s="19" t="str">
        <f t="shared" si="1"/>
        <v/>
      </c>
      <c r="J36" s="18" t="str">
        <f t="array" ref="J36">IFERROR(INDEX($A$3:$A$42, MATCH(0, COUNTIF($J$2:J35, $A$3:$A$42&amp;"") + IF($A$3:$A$42="",1,0), 0)), "")</f>
        <v/>
      </c>
      <c r="K36" s="1" t="str">
        <f>IF($J36="","",ConcatIf($A$3:$A$42,$J36,$G$3:$G$42," ; "))</f>
        <v/>
      </c>
    </row>
    <row r="37" spans="1:11" x14ac:dyDescent="0.25">
      <c r="A37" s="1" t="str">
        <f t="shared" si="2"/>
        <v/>
      </c>
      <c r="B37" s="5"/>
      <c r="C37" s="5"/>
      <c r="D37" s="5" t="str">
        <f t="shared" si="3"/>
        <v/>
      </c>
      <c r="E37" s="16"/>
      <c r="F37" s="2" t="str">
        <f t="shared" si="0"/>
        <v/>
      </c>
      <c r="I37" s="19" t="str">
        <f t="shared" si="1"/>
        <v/>
      </c>
      <c r="J37" s="18" t="str">
        <f t="array" ref="J37">IFERROR(INDEX($A$3:$A$42, MATCH(0, COUNTIF($J$2:J36, $A$3:$A$42&amp;"") + IF($A$3:$A$42="",1,0), 0)), "")</f>
        <v/>
      </c>
      <c r="K37" s="1" t="str">
        <f>IF($J37="","",ConcatIf($A$3:$A$42,$J37,$G$3:$G$42," ; "))</f>
        <v/>
      </c>
    </row>
    <row r="38" spans="1:11" x14ac:dyDescent="0.25">
      <c r="A38" s="1" t="str">
        <f t="shared" si="2"/>
        <v/>
      </c>
      <c r="B38" s="5"/>
      <c r="C38" s="5"/>
      <c r="D38" s="5" t="str">
        <f t="shared" si="3"/>
        <v/>
      </c>
      <c r="E38" s="16"/>
      <c r="F38" s="2" t="str">
        <f t="shared" si="0"/>
        <v/>
      </c>
      <c r="I38" s="19" t="str">
        <f t="shared" si="1"/>
        <v/>
      </c>
      <c r="J38" s="18" t="str">
        <f t="array" ref="J38">IFERROR(INDEX($A$3:$A$42, MATCH(0, COUNTIF($J$2:J37, $A$3:$A$42&amp;"") + IF($A$3:$A$42="",1,0), 0)), "")</f>
        <v/>
      </c>
      <c r="K38" s="1" t="str">
        <f>IF($J38="","",ConcatIf($A$3:$A$42,$J38,$G$3:$G$42," ; "))</f>
        <v/>
      </c>
    </row>
    <row r="39" spans="1:11" x14ac:dyDescent="0.25">
      <c r="A39" s="1" t="str">
        <f t="shared" si="2"/>
        <v/>
      </c>
      <c r="B39" s="5"/>
      <c r="C39" s="5"/>
      <c r="D39" s="5" t="str">
        <f t="shared" si="3"/>
        <v/>
      </c>
      <c r="E39" s="16"/>
      <c r="F39" s="2" t="str">
        <f t="shared" si="0"/>
        <v/>
      </c>
      <c r="I39" s="19" t="str">
        <f t="shared" si="1"/>
        <v/>
      </c>
      <c r="J39" s="18" t="str">
        <f t="array" ref="J39">IFERROR(INDEX($A$3:$A$42, MATCH(0, COUNTIF($J$2:J38, $A$3:$A$42&amp;"") + IF($A$3:$A$42="",1,0), 0)), "")</f>
        <v/>
      </c>
      <c r="K39" s="1" t="str">
        <f>IF($J39="","",ConcatIf($A$3:$A$42,$J39,$G$3:$G$42," ; "))</f>
        <v/>
      </c>
    </row>
    <row r="40" spans="1:11" x14ac:dyDescent="0.25">
      <c r="A40" s="1" t="str">
        <f t="shared" si="2"/>
        <v/>
      </c>
      <c r="B40" s="5"/>
      <c r="C40" s="5"/>
      <c r="D40" s="5" t="str">
        <f t="shared" si="3"/>
        <v/>
      </c>
      <c r="E40" s="16"/>
      <c r="F40" s="2" t="str">
        <f t="shared" si="0"/>
        <v/>
      </c>
      <c r="I40" s="19" t="str">
        <f t="shared" si="1"/>
        <v/>
      </c>
      <c r="J40" s="18" t="str">
        <f t="array" ref="J40">IFERROR(INDEX($A$3:$A$42, MATCH(0, COUNTIF($J$2:J39, $A$3:$A$42&amp;"") + IF($A$3:$A$42="",1,0), 0)), "")</f>
        <v/>
      </c>
      <c r="K40" s="1" t="str">
        <f>IF($J40="","",ConcatIf($A$3:$A$42,$J40,$G$3:$G$42," ; "))</f>
        <v/>
      </c>
    </row>
    <row r="41" spans="1:11" x14ac:dyDescent="0.25">
      <c r="D41" s="5" t="str">
        <f t="shared" ref="D41" si="4">IF(ISBLANK(E40),"",E40)</f>
        <v/>
      </c>
    </row>
  </sheetData>
  <autoFilter ref="C2:H21" xr:uid="{00000000-0009-0000-0000-00000300000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K40"/>
  <sheetViews>
    <sheetView zoomScaleNormal="100" workbookViewId="0">
      <pane ySplit="2" topLeftCell="A3" activePane="bottomLeft" state="frozen"/>
      <selection pane="bottomLeft" sqref="A1:A1048576"/>
    </sheetView>
  </sheetViews>
  <sheetFormatPr defaultRowHeight="15" x14ac:dyDescent="0.25"/>
  <cols>
    <col min="1" max="1" width="11.140625" style="1" hidden="1" customWidth="1"/>
    <col min="2" max="2" width="9.140625" style="1"/>
    <col min="3" max="3" width="9" style="1" customWidth="1"/>
    <col min="4" max="5" width="11.5703125" style="5" customWidth="1"/>
    <col min="6" max="6" width="7.7109375" style="2" customWidth="1"/>
    <col min="7" max="7" width="32.7109375" style="9" customWidth="1"/>
    <col min="8" max="8" width="43.85546875" style="1" customWidth="1"/>
    <col min="9" max="10" width="9.140625" style="1"/>
    <col min="11" max="11" width="35.28515625" style="1" customWidth="1"/>
    <col min="12" max="16384" width="9.140625" style="1"/>
  </cols>
  <sheetData>
    <row r="1" spans="1:11" x14ac:dyDescent="0.25">
      <c r="C1" s="10" t="s">
        <v>43</v>
      </c>
      <c r="E1" s="17">
        <f>SUM($I$2:$I40)</f>
        <v>0</v>
      </c>
      <c r="F1" s="17"/>
      <c r="G1" s="26" t="s">
        <v>44</v>
      </c>
      <c r="H1" s="17">
        <f>SUM('05-07 Tues'!H1,E1)</f>
        <v>0</v>
      </c>
    </row>
    <row r="2" spans="1:11" x14ac:dyDescent="0.25">
      <c r="A2" s="22" t="s">
        <v>47</v>
      </c>
      <c r="B2" s="22" t="s">
        <v>45</v>
      </c>
      <c r="C2" s="22" t="s">
        <v>6</v>
      </c>
      <c r="D2" s="23" t="s">
        <v>0</v>
      </c>
      <c r="E2" s="23" t="s">
        <v>1</v>
      </c>
      <c r="F2" s="23" t="s">
        <v>2</v>
      </c>
      <c r="G2" s="24" t="s">
        <v>3</v>
      </c>
      <c r="H2" s="25" t="s">
        <v>28</v>
      </c>
      <c r="I2" s="22" t="s">
        <v>2</v>
      </c>
      <c r="J2" s="22" t="s">
        <v>47</v>
      </c>
      <c r="K2" s="24" t="s">
        <v>3</v>
      </c>
    </row>
    <row r="3" spans="1:11" ht="15.75" customHeight="1" x14ac:dyDescent="0.25">
      <c r="A3" s="1" t="str">
        <f>IF(ISBLANK(C3),IF(ISBLANK(B3),"",B3),_xlfn.CONCAT(B3,"-",C3))</f>
        <v/>
      </c>
      <c r="F3" s="2" t="str">
        <f t="shared" ref="F3:F40" si="0">IF(OR(ISBLANK(E3),ISBLANK(D3),ISBLANK(A3)),"",(E3-D3)*24)</f>
        <v/>
      </c>
      <c r="G3" s="1"/>
      <c r="I3" s="19" t="str">
        <f t="shared" ref="I3:I40" si="1">IF($J3="","",MROUND(SUMIF(A:A,"="&amp;J3,F:F),0.25))</f>
        <v/>
      </c>
      <c r="J3" s="18" t="str">
        <f t="array" ref="J3">IFERROR(INDEX($A$3:$A$42, MATCH(0, COUNTIF($J$2:J2, $A$3:$A$42&amp;"") + IF($A$3:$A$42="",1,0), 0)), "")</f>
        <v/>
      </c>
      <c r="K3" s="1" t="str">
        <f>IF($J3="","",ConcatIf($A$3:$A$42,$J3,$G$3:$G$42," ; "))</f>
        <v/>
      </c>
    </row>
    <row r="4" spans="1:11" x14ac:dyDescent="0.25">
      <c r="A4" s="1" t="str">
        <f t="shared" ref="A4:A40" si="2">IF(ISBLANK(C4),IF(ISBLANK(B4),"",B4),_xlfn.CONCAT(B4,"-",C4))</f>
        <v/>
      </c>
      <c r="D4" s="5" t="str">
        <f>IF(ISBLANK(E3),"",E3)</f>
        <v/>
      </c>
      <c r="F4" s="2" t="str">
        <f t="shared" si="0"/>
        <v/>
      </c>
      <c r="G4" s="1"/>
      <c r="H4" s="13"/>
      <c r="I4" s="19" t="str">
        <f t="shared" si="1"/>
        <v/>
      </c>
      <c r="J4" s="18" t="str">
        <f t="array" ref="J4">IFERROR(INDEX($A$3:$A$42, MATCH(0, COUNTIF($J$2:J3, $A$3:$A$42&amp;"") + IF($A$3:$A$42="",1,0), 0)), "")</f>
        <v/>
      </c>
      <c r="K4" s="1" t="str">
        <f>IF($J4="","",ConcatIf($A$3:$A$42,$J4,$G$3:$G$42," ; "))</f>
        <v/>
      </c>
    </row>
    <row r="5" spans="1:11" x14ac:dyDescent="0.25">
      <c r="A5" s="1" t="str">
        <f t="shared" si="2"/>
        <v/>
      </c>
      <c r="D5" s="5" t="str">
        <f t="shared" ref="D5:D40" si="3">IF(ISBLANK(E4),"",E4)</f>
        <v/>
      </c>
      <c r="F5" s="2" t="str">
        <f t="shared" si="0"/>
        <v/>
      </c>
      <c r="G5" s="1"/>
      <c r="H5" s="13"/>
      <c r="I5" s="19" t="str">
        <f t="shared" si="1"/>
        <v/>
      </c>
      <c r="J5" s="18" t="str">
        <f t="array" ref="J5">IFERROR(INDEX($A$3:$A$42, MATCH(0, COUNTIF($J$2:J4, $A$3:$A$42&amp;"") + IF($A$3:$A$42="",1,0), 0)), "")</f>
        <v/>
      </c>
      <c r="K5" s="1" t="str">
        <f>IF($J5="","",ConcatIf($A$3:$A$42,$J5,$G$3:$G$42," ; "))</f>
        <v/>
      </c>
    </row>
    <row r="6" spans="1:11" x14ac:dyDescent="0.25">
      <c r="A6" s="1" t="str">
        <f t="shared" si="2"/>
        <v/>
      </c>
      <c r="D6" s="5" t="str">
        <f t="shared" si="3"/>
        <v/>
      </c>
      <c r="F6" s="2" t="str">
        <f t="shared" si="0"/>
        <v/>
      </c>
      <c r="G6" s="1"/>
      <c r="H6" s="13"/>
      <c r="I6" s="19" t="str">
        <f t="shared" si="1"/>
        <v/>
      </c>
      <c r="J6" s="18" t="str">
        <f t="array" ref="J6">IFERROR(INDEX($A$3:$A$42, MATCH(0, COUNTIF($J$2:J5, $A$3:$A$42&amp;"") + IF($A$3:$A$42="",1,0), 0)), "")</f>
        <v/>
      </c>
      <c r="K6" s="1" t="str">
        <f>IF($J6="","",ConcatIf($A$3:$A$42,$J6,$G$3:$G$42," ; "))</f>
        <v/>
      </c>
    </row>
    <row r="7" spans="1:11" x14ac:dyDescent="0.25">
      <c r="A7" s="1" t="str">
        <f t="shared" si="2"/>
        <v/>
      </c>
      <c r="D7" s="5" t="str">
        <f t="shared" si="3"/>
        <v/>
      </c>
      <c r="F7" s="2" t="str">
        <f t="shared" si="0"/>
        <v/>
      </c>
      <c r="G7" s="1"/>
      <c r="H7" s="13"/>
      <c r="I7" s="19" t="str">
        <f t="shared" si="1"/>
        <v/>
      </c>
      <c r="J7" s="18" t="str">
        <f t="array" ref="J7">IFERROR(INDEX($A$3:$A$42, MATCH(0, COUNTIF($J$2:J6, $A$3:$A$42&amp;"") + IF($A$3:$A$42="",1,0), 0)), "")</f>
        <v/>
      </c>
      <c r="K7" s="1" t="str">
        <f>IF($J7="","",ConcatIf($A$3:$A$42,$J7,$G$3:$G$42," ; "))</f>
        <v/>
      </c>
    </row>
    <row r="8" spans="1:11" x14ac:dyDescent="0.25">
      <c r="A8" s="1" t="str">
        <f t="shared" si="2"/>
        <v/>
      </c>
      <c r="D8" s="5" t="str">
        <f t="shared" si="3"/>
        <v/>
      </c>
      <c r="F8" s="2" t="str">
        <f t="shared" si="0"/>
        <v/>
      </c>
      <c r="G8" s="1"/>
      <c r="H8" s="13"/>
      <c r="I8" s="19" t="str">
        <f t="shared" si="1"/>
        <v/>
      </c>
      <c r="J8" s="18" t="str">
        <f t="array" ref="J8">IFERROR(INDEX($A$3:$A$42, MATCH(0, COUNTIF($J$2:J7, $A$3:$A$42&amp;"") + IF($A$3:$A$42="",1,0), 0)), "")</f>
        <v/>
      </c>
      <c r="K8" s="1" t="str">
        <f>IF($J8="","",ConcatIf($A$3:$A$42,$J8,$G$3:$G$42," ; "))</f>
        <v/>
      </c>
    </row>
    <row r="9" spans="1:11" x14ac:dyDescent="0.25">
      <c r="A9" s="1" t="str">
        <f t="shared" si="2"/>
        <v/>
      </c>
      <c r="D9" s="5" t="str">
        <f t="shared" si="3"/>
        <v/>
      </c>
      <c r="F9" s="2" t="str">
        <f t="shared" si="0"/>
        <v/>
      </c>
      <c r="G9" s="1"/>
      <c r="H9" s="14"/>
      <c r="I9" s="19" t="str">
        <f t="shared" si="1"/>
        <v/>
      </c>
      <c r="J9" s="18" t="str">
        <f t="array" ref="J9">IFERROR(INDEX($A$3:$A$42, MATCH(0, COUNTIF($J$2:J8, $A$3:$A$42&amp;"") + IF($A$3:$A$42="",1,0), 0)), "")</f>
        <v/>
      </c>
      <c r="K9" s="1" t="str">
        <f>IF($J9="","",ConcatIf($A$3:$A$42,$J9,$G$3:$G$42," ; "))</f>
        <v/>
      </c>
    </row>
    <row r="10" spans="1:11" x14ac:dyDescent="0.25">
      <c r="A10" s="1" t="str">
        <f t="shared" si="2"/>
        <v/>
      </c>
      <c r="D10" s="5" t="str">
        <f t="shared" si="3"/>
        <v/>
      </c>
      <c r="F10" s="2" t="str">
        <f t="shared" si="0"/>
        <v/>
      </c>
      <c r="G10" s="1"/>
      <c r="H10" s="13"/>
      <c r="I10" s="19" t="str">
        <f t="shared" si="1"/>
        <v/>
      </c>
      <c r="J10" s="18" t="str">
        <f t="array" ref="J10">IFERROR(INDEX($A$3:$A$42, MATCH(0, COUNTIF($J$2:J9, $A$3:$A$42&amp;"") + IF($A$3:$A$42="",1,0), 0)), "")</f>
        <v/>
      </c>
      <c r="K10" s="1" t="str">
        <f>IF($J10="","",ConcatIf($A$3:$A$42,$J10,$G$3:$G$42," ; "))</f>
        <v/>
      </c>
    </row>
    <row r="11" spans="1:11" x14ac:dyDescent="0.25">
      <c r="A11" s="1" t="str">
        <f t="shared" si="2"/>
        <v/>
      </c>
      <c r="D11" s="5" t="str">
        <f t="shared" si="3"/>
        <v/>
      </c>
      <c r="F11" s="2" t="str">
        <f t="shared" si="0"/>
        <v/>
      </c>
      <c r="G11" s="12"/>
      <c r="H11" s="13"/>
      <c r="I11" s="19" t="str">
        <f t="shared" si="1"/>
        <v/>
      </c>
      <c r="J11" s="18" t="str">
        <f t="array" ref="J11">IFERROR(INDEX($A$3:$A$42, MATCH(0, COUNTIF($J$2:J10, $A$3:$A$42&amp;"") + IF($A$3:$A$42="",1,0), 0)), "")</f>
        <v/>
      </c>
      <c r="K11" s="1" t="str">
        <f>IF($J11="","",ConcatIf($A$3:$A$42,$J11,$G$3:$G$42," ; "))</f>
        <v/>
      </c>
    </row>
    <row r="12" spans="1:11" x14ac:dyDescent="0.25">
      <c r="A12" s="1" t="str">
        <f t="shared" si="2"/>
        <v/>
      </c>
      <c r="D12" s="5" t="str">
        <f t="shared" si="3"/>
        <v/>
      </c>
      <c r="F12" s="2" t="str">
        <f t="shared" si="0"/>
        <v/>
      </c>
      <c r="G12" s="12"/>
      <c r="H12" s="13"/>
      <c r="I12" s="19" t="str">
        <f t="shared" si="1"/>
        <v/>
      </c>
      <c r="J12" s="18" t="str">
        <f t="array" ref="J12">IFERROR(INDEX($A$3:$A$42, MATCH(0, COUNTIF($J$2:J11, $A$3:$A$42&amp;"") + IF($A$3:$A$42="",1,0), 0)), "")</f>
        <v/>
      </c>
      <c r="K12" s="1" t="str">
        <f>IF($J12="","",ConcatIf($A$3:$A$42,$J12,$G$3:$G$42," ; "))</f>
        <v/>
      </c>
    </row>
    <row r="13" spans="1:11" x14ac:dyDescent="0.25">
      <c r="A13" s="1" t="str">
        <f t="shared" si="2"/>
        <v/>
      </c>
      <c r="D13" s="5" t="str">
        <f t="shared" si="3"/>
        <v/>
      </c>
      <c r="F13" s="2" t="str">
        <f t="shared" si="0"/>
        <v/>
      </c>
      <c r="G13" s="12"/>
      <c r="H13" s="13"/>
      <c r="I13" s="19" t="str">
        <f t="shared" si="1"/>
        <v/>
      </c>
      <c r="J13" s="18" t="str">
        <f t="array" ref="J13">IFERROR(INDEX($A$3:$A$42, MATCH(0, COUNTIF($J$2:J12, $A$3:$A$42&amp;"") + IF($A$3:$A$42="",1,0), 0)), "")</f>
        <v/>
      </c>
      <c r="K13" s="1" t="str">
        <f>IF($J13="","",ConcatIf($A$3:$A$42,$J13,$G$3:$G$42," ; "))</f>
        <v/>
      </c>
    </row>
    <row r="14" spans="1:11" x14ac:dyDescent="0.25">
      <c r="A14" s="1" t="str">
        <f t="shared" si="2"/>
        <v/>
      </c>
      <c r="D14" s="5" t="str">
        <f t="shared" si="3"/>
        <v/>
      </c>
      <c r="F14" s="2" t="str">
        <f t="shared" si="0"/>
        <v/>
      </c>
      <c r="G14" s="12"/>
      <c r="H14" s="13"/>
      <c r="I14" s="19" t="str">
        <f t="shared" si="1"/>
        <v/>
      </c>
      <c r="J14" s="18" t="str">
        <f t="array" ref="J14">IFERROR(INDEX($A$3:$A$42, MATCH(0, COUNTIF($J$2:J13, $A$3:$A$42&amp;"") + IF($A$3:$A$42="",1,0), 0)), "")</f>
        <v/>
      </c>
      <c r="K14" s="1" t="str">
        <f>IF($J14="","",ConcatIf($A$3:$A$42,$J14,$G$3:$G$42," ; "))</f>
        <v/>
      </c>
    </row>
    <row r="15" spans="1:11" x14ac:dyDescent="0.25">
      <c r="A15" s="1" t="str">
        <f t="shared" si="2"/>
        <v/>
      </c>
      <c r="D15" s="5" t="str">
        <f t="shared" si="3"/>
        <v/>
      </c>
      <c r="F15" s="2" t="str">
        <f t="shared" si="0"/>
        <v/>
      </c>
      <c r="G15" s="12"/>
      <c r="H15" s="13"/>
      <c r="I15" s="19" t="str">
        <f t="shared" si="1"/>
        <v/>
      </c>
      <c r="J15" s="18" t="str">
        <f t="array" ref="J15">IFERROR(INDEX($A$3:$A$42, MATCH(0, COUNTIF($J$2:J14, $A$3:$A$42&amp;"") + IF($A$3:$A$42="",1,0), 0)), "")</f>
        <v/>
      </c>
      <c r="K15" s="1" t="str">
        <f>IF($J15="","",ConcatIf($A$3:$A$42,$J15,$G$3:$G$42," ; "))</f>
        <v/>
      </c>
    </row>
    <row r="16" spans="1:11" x14ac:dyDescent="0.25">
      <c r="A16" s="1" t="str">
        <f t="shared" si="2"/>
        <v/>
      </c>
      <c r="D16" s="5" t="str">
        <f t="shared" si="3"/>
        <v/>
      </c>
      <c r="F16" s="2" t="str">
        <f t="shared" si="0"/>
        <v/>
      </c>
      <c r="G16" s="12"/>
      <c r="H16" s="13"/>
      <c r="I16" s="19" t="str">
        <f t="shared" si="1"/>
        <v/>
      </c>
      <c r="J16" s="18" t="str">
        <f t="array" ref="J16">IFERROR(INDEX($A$3:$A$42, MATCH(0, COUNTIF($J$2:J15, $A$3:$A$42&amp;"") + IF($A$3:$A$42="",1,0), 0)), "")</f>
        <v/>
      </c>
      <c r="K16" s="1" t="str">
        <f>IF($J16="","",ConcatIf($A$3:$A$42,$J16,$G$3:$G$42," ; "))</f>
        <v/>
      </c>
    </row>
    <row r="17" spans="1:11" x14ac:dyDescent="0.25">
      <c r="A17" s="1" t="str">
        <f t="shared" si="2"/>
        <v/>
      </c>
      <c r="D17" s="5" t="str">
        <f t="shared" si="3"/>
        <v/>
      </c>
      <c r="F17" s="2" t="str">
        <f t="shared" si="0"/>
        <v/>
      </c>
      <c r="G17" s="12"/>
      <c r="H17" s="13"/>
      <c r="I17" s="19" t="str">
        <f t="shared" si="1"/>
        <v/>
      </c>
      <c r="J17" s="18" t="str">
        <f t="array" ref="J17">IFERROR(INDEX($A$3:$A$42, MATCH(0, COUNTIF($J$2:J16, $A$3:$A$42&amp;"") + IF($A$3:$A$42="",1,0), 0)), "")</f>
        <v/>
      </c>
      <c r="K17" s="1" t="str">
        <f>IF($J17="","",ConcatIf($A$3:$A$42,$J17,$G$3:$G$42," ; "))</f>
        <v/>
      </c>
    </row>
    <row r="18" spans="1:11" x14ac:dyDescent="0.25">
      <c r="A18" s="1" t="str">
        <f t="shared" si="2"/>
        <v/>
      </c>
      <c r="D18" s="5" t="str">
        <f t="shared" si="3"/>
        <v/>
      </c>
      <c r="F18" s="2" t="str">
        <f t="shared" si="0"/>
        <v/>
      </c>
      <c r="G18" s="12"/>
      <c r="H18" s="13"/>
      <c r="I18" s="19" t="str">
        <f t="shared" si="1"/>
        <v/>
      </c>
      <c r="J18" s="18" t="str">
        <f t="array" ref="J18">IFERROR(INDEX($A$3:$A$42, MATCH(0, COUNTIF($J$2:J17, $A$3:$A$42&amp;"") + IF($A$3:$A$42="",1,0), 0)), "")</f>
        <v/>
      </c>
      <c r="K18" s="1" t="str">
        <f>IF($J18="","",ConcatIf($A$3:$A$42,$J18,$G$3:$G$42," ; "))</f>
        <v/>
      </c>
    </row>
    <row r="19" spans="1:11" x14ac:dyDescent="0.25">
      <c r="A19" s="1" t="str">
        <f t="shared" si="2"/>
        <v/>
      </c>
      <c r="B19" s="12"/>
      <c r="D19" s="5" t="str">
        <f t="shared" si="3"/>
        <v/>
      </c>
      <c r="F19" s="2" t="str">
        <f t="shared" si="0"/>
        <v/>
      </c>
      <c r="G19" s="12"/>
      <c r="H19" s="13"/>
      <c r="I19" s="19" t="str">
        <f t="shared" si="1"/>
        <v/>
      </c>
      <c r="J19" s="18" t="str">
        <f t="array" ref="J19">IFERROR(INDEX($A$3:$A$42, MATCH(0, COUNTIF($J$2:J18, $A$3:$A$42&amp;"") + IF($A$3:$A$42="",1,0), 0)), "")</f>
        <v/>
      </c>
      <c r="K19" s="1" t="str">
        <f>IF($J19="","",ConcatIf($A$3:$A$42,$J19,$G$3:$G$42," ; "))</f>
        <v/>
      </c>
    </row>
    <row r="20" spans="1:11" x14ac:dyDescent="0.25">
      <c r="A20" s="1" t="str">
        <f t="shared" si="2"/>
        <v/>
      </c>
      <c r="D20" s="5" t="str">
        <f t="shared" si="3"/>
        <v/>
      </c>
      <c r="F20" s="2" t="str">
        <f t="shared" si="0"/>
        <v/>
      </c>
      <c r="G20" s="12"/>
      <c r="H20" s="13"/>
      <c r="I20" s="19" t="str">
        <f t="shared" si="1"/>
        <v/>
      </c>
      <c r="J20" s="18" t="str">
        <f t="array" ref="J20">IFERROR(INDEX($A$3:$A$42, MATCH(0, COUNTIF($J$2:J19, $A$3:$A$42&amp;"") + IF($A$3:$A$42="",1,0), 0)), "")</f>
        <v/>
      </c>
      <c r="K20" s="1" t="str">
        <f>IF($J20="","",ConcatIf($A$3:$A$42,$J20,$G$3:$G$42," ; "))</f>
        <v/>
      </c>
    </row>
    <row r="21" spans="1:11" x14ac:dyDescent="0.25">
      <c r="A21" s="1" t="str">
        <f t="shared" si="2"/>
        <v/>
      </c>
      <c r="D21" s="5" t="str">
        <f t="shared" si="3"/>
        <v/>
      </c>
      <c r="F21" s="2" t="str">
        <f t="shared" si="0"/>
        <v/>
      </c>
      <c r="G21" s="12"/>
      <c r="H21" s="13"/>
      <c r="I21" s="19" t="str">
        <f t="shared" si="1"/>
        <v/>
      </c>
      <c r="J21" s="18" t="str">
        <f t="array" ref="J21">IFERROR(INDEX($A$3:$A$42, MATCH(0, COUNTIF($J$2:J20, $A$3:$A$42&amp;"") + IF($A$3:$A$42="",1,0), 0)), "")</f>
        <v/>
      </c>
      <c r="K21" s="1" t="str">
        <f>IF($J21="","",ConcatIf($A$3:$A$42,$J21,$G$3:$G$42," ; "))</f>
        <v/>
      </c>
    </row>
    <row r="22" spans="1:11" x14ac:dyDescent="0.25">
      <c r="A22" s="1" t="str">
        <f t="shared" si="2"/>
        <v/>
      </c>
      <c r="D22" s="5" t="str">
        <f t="shared" si="3"/>
        <v/>
      </c>
      <c r="F22" s="2" t="str">
        <f t="shared" si="0"/>
        <v/>
      </c>
      <c r="G22" s="12"/>
      <c r="H22" s="13"/>
      <c r="I22" s="19" t="str">
        <f t="shared" si="1"/>
        <v/>
      </c>
      <c r="J22" s="18" t="str">
        <f t="array" ref="J22">IFERROR(INDEX($A$3:$A$42, MATCH(0, COUNTIF($J$2:J21, $A$3:$A$42&amp;"") + IF($A$3:$A$42="",1,0), 0)), "")</f>
        <v/>
      </c>
      <c r="K22" s="1" t="str">
        <f>IF($J22="","",ConcatIf($A$3:$A$42,$J22,$G$3:$G$42," ; "))</f>
        <v/>
      </c>
    </row>
    <row r="23" spans="1:11" x14ac:dyDescent="0.25">
      <c r="A23" s="1" t="str">
        <f t="shared" si="2"/>
        <v/>
      </c>
      <c r="D23" s="5" t="str">
        <f t="shared" si="3"/>
        <v/>
      </c>
      <c r="F23" s="2" t="str">
        <f t="shared" si="0"/>
        <v/>
      </c>
      <c r="G23" s="12"/>
      <c r="H23" s="12"/>
      <c r="I23" s="19" t="str">
        <f t="shared" si="1"/>
        <v/>
      </c>
      <c r="J23" s="18" t="str">
        <f t="array" ref="J23">IFERROR(INDEX($A$3:$A$42, MATCH(0, COUNTIF($J$2:J22, $A$3:$A$42&amp;"") + IF($A$3:$A$42="",1,0), 0)), "")</f>
        <v/>
      </c>
      <c r="K23" s="1" t="str">
        <f>IF($J23="","",ConcatIf($A$3:$A$42,$J23,$G$3:$G$42," ; "))</f>
        <v/>
      </c>
    </row>
    <row r="24" spans="1:11" x14ac:dyDescent="0.25">
      <c r="A24" s="1" t="str">
        <f t="shared" si="2"/>
        <v/>
      </c>
      <c r="B24" s="5"/>
      <c r="C24" s="5"/>
      <c r="D24" s="5" t="str">
        <f t="shared" si="3"/>
        <v/>
      </c>
      <c r="E24" s="16"/>
      <c r="F24" s="2" t="str">
        <f t="shared" si="0"/>
        <v/>
      </c>
      <c r="G24" s="12"/>
      <c r="I24" s="19" t="str">
        <f t="shared" si="1"/>
        <v/>
      </c>
      <c r="J24" s="18" t="str">
        <f t="array" ref="J24">IFERROR(INDEX($A$3:$A$42, MATCH(0, COUNTIF($J$2:J23, $A$3:$A$42&amp;"") + IF($A$3:$A$42="",1,0), 0)), "")</f>
        <v/>
      </c>
      <c r="K24" s="1" t="str">
        <f>IF($J24="","",ConcatIf($A$3:$A$42,$J24,$G$3:$G$42," ; "))</f>
        <v/>
      </c>
    </row>
    <row r="25" spans="1:11" x14ac:dyDescent="0.25">
      <c r="A25" s="1" t="str">
        <f t="shared" si="2"/>
        <v/>
      </c>
      <c r="D25" s="5" t="str">
        <f t="shared" si="3"/>
        <v/>
      </c>
      <c r="E25" s="16"/>
      <c r="F25" s="2" t="str">
        <f t="shared" si="0"/>
        <v/>
      </c>
      <c r="G25" s="12"/>
      <c r="H25" s="12"/>
      <c r="I25" s="19" t="str">
        <f t="shared" si="1"/>
        <v/>
      </c>
      <c r="J25" s="18" t="str">
        <f t="array" ref="J25">IFERROR(INDEX($A$3:$A$42, MATCH(0, COUNTIF($J$2:J24, $A$3:$A$42&amp;"") + IF($A$3:$A$42="",1,0), 0)), "")</f>
        <v/>
      </c>
      <c r="K25" s="1" t="str">
        <f>IF($J25="","",ConcatIf($A$3:$A$42,$J25,$G$3:$G$42," ; "))</f>
        <v/>
      </c>
    </row>
    <row r="26" spans="1:11" x14ac:dyDescent="0.25">
      <c r="A26" s="1" t="str">
        <f t="shared" si="2"/>
        <v/>
      </c>
      <c r="D26" s="5" t="str">
        <f t="shared" si="3"/>
        <v/>
      </c>
      <c r="E26" s="16"/>
      <c r="F26" s="2" t="str">
        <f t="shared" si="0"/>
        <v/>
      </c>
      <c r="G26" s="12"/>
      <c r="H26" s="12"/>
      <c r="I26" s="19" t="str">
        <f t="shared" si="1"/>
        <v/>
      </c>
      <c r="J26" s="18" t="str">
        <f t="array" ref="J26">IFERROR(INDEX($A$3:$A$42, MATCH(0, COUNTIF($J$2:J25, $A$3:$A$42&amp;"") + IF($A$3:$A$42="",1,0), 0)), "")</f>
        <v/>
      </c>
      <c r="K26" s="1" t="str">
        <f>IF($J26="","",ConcatIf($A$3:$A$42,$J26,$G$3:$G$42," ; "))</f>
        <v/>
      </c>
    </row>
    <row r="27" spans="1:11" x14ac:dyDescent="0.25">
      <c r="A27" s="1" t="str">
        <f t="shared" si="2"/>
        <v/>
      </c>
      <c r="D27" s="5" t="str">
        <f t="shared" si="3"/>
        <v/>
      </c>
      <c r="E27" s="16"/>
      <c r="F27" s="2" t="str">
        <f t="shared" si="0"/>
        <v/>
      </c>
      <c r="G27" s="12"/>
      <c r="H27" s="12"/>
      <c r="I27" s="19" t="str">
        <f t="shared" si="1"/>
        <v/>
      </c>
      <c r="J27" s="18" t="str">
        <f t="array" ref="J27">IFERROR(INDEX($A$3:$A$42, MATCH(0, COUNTIF($J$2:J26, $A$3:$A$42&amp;"") + IF($A$3:$A$42="",1,0), 0)), "")</f>
        <v/>
      </c>
      <c r="K27" s="1" t="str">
        <f>IF($J27="","",ConcatIf($A$3:$A$42,$J27,$G$3:$G$42," ; "))</f>
        <v/>
      </c>
    </row>
    <row r="28" spans="1:11" x14ac:dyDescent="0.25">
      <c r="A28" s="1" t="str">
        <f t="shared" si="2"/>
        <v/>
      </c>
      <c r="B28" s="5"/>
      <c r="C28" s="5"/>
      <c r="D28" s="5" t="str">
        <f t="shared" si="3"/>
        <v/>
      </c>
      <c r="E28" s="16"/>
      <c r="F28" s="2" t="str">
        <f t="shared" si="0"/>
        <v/>
      </c>
      <c r="G28" s="12"/>
      <c r="H28" s="12"/>
      <c r="I28" s="19" t="str">
        <f t="shared" si="1"/>
        <v/>
      </c>
      <c r="J28" s="18" t="str">
        <f t="array" ref="J28">IFERROR(INDEX($A$3:$A$42, MATCH(0, COUNTIF($J$2:J27, $A$3:$A$42&amp;"") + IF($A$3:$A$42="",1,0), 0)), "")</f>
        <v/>
      </c>
      <c r="K28" s="1" t="str">
        <f>IF($J28="","",ConcatIf($A$3:$A$42,$J28,$G$3:$G$42," ; "))</f>
        <v/>
      </c>
    </row>
    <row r="29" spans="1:11" x14ac:dyDescent="0.25">
      <c r="A29" s="1" t="str">
        <f t="shared" si="2"/>
        <v/>
      </c>
      <c r="D29" s="5" t="str">
        <f t="shared" si="3"/>
        <v/>
      </c>
      <c r="E29" s="16"/>
      <c r="F29" s="2" t="str">
        <f t="shared" si="0"/>
        <v/>
      </c>
      <c r="G29" s="12"/>
      <c r="H29" s="12"/>
      <c r="I29" s="19" t="str">
        <f t="shared" si="1"/>
        <v/>
      </c>
      <c r="J29" s="18" t="str">
        <f t="array" ref="J29">IFERROR(INDEX($A$3:$A$42, MATCH(0, COUNTIF($J$2:J28, $A$3:$A$42&amp;"") + IF($A$3:$A$42="",1,0), 0)), "")</f>
        <v/>
      </c>
      <c r="K29" s="1" t="str">
        <f>IF($J29="","",ConcatIf($A$3:$A$42,$J29,$G$3:$G$42," ; "))</f>
        <v/>
      </c>
    </row>
    <row r="30" spans="1:11" x14ac:dyDescent="0.25">
      <c r="A30" s="1" t="str">
        <f t="shared" si="2"/>
        <v/>
      </c>
      <c r="B30" s="5"/>
      <c r="C30" s="5"/>
      <c r="D30" s="5" t="str">
        <f t="shared" si="3"/>
        <v/>
      </c>
      <c r="E30" s="16"/>
      <c r="F30" s="2" t="str">
        <f t="shared" si="0"/>
        <v/>
      </c>
      <c r="G30" s="12"/>
      <c r="H30" s="12"/>
      <c r="I30" s="19" t="str">
        <f t="shared" si="1"/>
        <v/>
      </c>
      <c r="J30" s="18" t="str">
        <f t="array" ref="J30">IFERROR(INDEX($A$3:$A$42, MATCH(0, COUNTIF($J$2:J29, $A$3:$A$42&amp;"") + IF($A$3:$A$42="",1,0), 0)), "")</f>
        <v/>
      </c>
      <c r="K30" s="1" t="str">
        <f>IF($J30="","",ConcatIf($A$3:$A$42,$J30,$G$3:$G$42," ; "))</f>
        <v/>
      </c>
    </row>
    <row r="31" spans="1:11" x14ac:dyDescent="0.25">
      <c r="A31" s="1" t="str">
        <f t="shared" si="2"/>
        <v/>
      </c>
      <c r="D31" s="5" t="str">
        <f t="shared" si="3"/>
        <v/>
      </c>
      <c r="E31" s="16"/>
      <c r="F31" s="2" t="str">
        <f t="shared" si="0"/>
        <v/>
      </c>
      <c r="G31" s="12"/>
      <c r="H31" s="12"/>
      <c r="I31" s="19" t="str">
        <f t="shared" si="1"/>
        <v/>
      </c>
      <c r="J31" s="18" t="str">
        <f t="array" ref="J31">IFERROR(INDEX($A$3:$A$42, MATCH(0, COUNTIF($J$2:J30, $A$3:$A$42&amp;"") + IF($A$3:$A$42="",1,0), 0)), "")</f>
        <v/>
      </c>
      <c r="K31" s="1" t="str">
        <f>IF($J31="","",ConcatIf($A$3:$A$42,$J31,$G$3:$G$42," ; "))</f>
        <v/>
      </c>
    </row>
    <row r="32" spans="1:11" x14ac:dyDescent="0.25">
      <c r="A32" s="1" t="str">
        <f t="shared" si="2"/>
        <v/>
      </c>
      <c r="B32" s="5"/>
      <c r="C32" s="5"/>
      <c r="D32" s="5" t="str">
        <f t="shared" si="3"/>
        <v/>
      </c>
      <c r="E32" s="16"/>
      <c r="F32" s="2" t="str">
        <f t="shared" si="0"/>
        <v/>
      </c>
      <c r="G32" s="12"/>
      <c r="H32" s="12"/>
      <c r="I32" s="19" t="str">
        <f t="shared" si="1"/>
        <v/>
      </c>
      <c r="J32" s="18" t="str">
        <f t="array" ref="J32">IFERROR(INDEX($A$3:$A$42, MATCH(0, COUNTIF($J$2:J31, $A$3:$A$42&amp;"") + IF($A$3:$A$42="",1,0), 0)), "")</f>
        <v/>
      </c>
      <c r="K32" s="1" t="str">
        <f>IF($J32="","",ConcatIf($A$3:$A$42,$J32,$G$3:$G$42," ; "))</f>
        <v/>
      </c>
    </row>
    <row r="33" spans="1:11" x14ac:dyDescent="0.25">
      <c r="A33" s="1" t="str">
        <f t="shared" si="2"/>
        <v/>
      </c>
      <c r="B33" s="5"/>
      <c r="C33" s="5"/>
      <c r="D33" s="5" t="str">
        <f t="shared" si="3"/>
        <v/>
      </c>
      <c r="E33" s="16"/>
      <c r="F33" s="2" t="str">
        <f t="shared" si="0"/>
        <v/>
      </c>
      <c r="G33" s="12"/>
      <c r="H33" s="12"/>
      <c r="I33" s="19" t="str">
        <f t="shared" si="1"/>
        <v/>
      </c>
      <c r="J33" s="18" t="str">
        <f t="array" ref="J33">IFERROR(INDEX($A$3:$A$42, MATCH(0, COUNTIF($J$2:J32, $A$3:$A$42&amp;"") + IF($A$3:$A$42="",1,0), 0)), "")</f>
        <v/>
      </c>
      <c r="K33" s="1" t="str">
        <f>IF($J33="","",ConcatIf($A$3:$A$42,$J33,$G$3:$G$42," ; "))</f>
        <v/>
      </c>
    </row>
    <row r="34" spans="1:11" x14ac:dyDescent="0.25">
      <c r="A34" s="1" t="str">
        <f t="shared" si="2"/>
        <v/>
      </c>
      <c r="B34" s="5"/>
      <c r="C34" s="5"/>
      <c r="D34" s="5" t="str">
        <f t="shared" si="3"/>
        <v/>
      </c>
      <c r="E34" s="16"/>
      <c r="F34" s="2" t="str">
        <f t="shared" si="0"/>
        <v/>
      </c>
      <c r="G34" s="12"/>
      <c r="H34" s="12"/>
      <c r="I34" s="19" t="str">
        <f t="shared" si="1"/>
        <v/>
      </c>
      <c r="J34" s="18" t="str">
        <f t="array" ref="J34">IFERROR(INDEX($A$3:$A$42, MATCH(0, COUNTIF($J$2:J33, $A$3:$A$42&amp;"") + IF($A$3:$A$42="",1,0), 0)), "")</f>
        <v/>
      </c>
      <c r="K34" s="1" t="str">
        <f>IF($J34="","",ConcatIf($A$3:$A$42,$J34,$G$3:$G$42," ; "))</f>
        <v/>
      </c>
    </row>
    <row r="35" spans="1:11" x14ac:dyDescent="0.25">
      <c r="A35" s="1" t="str">
        <f t="shared" si="2"/>
        <v/>
      </c>
      <c r="B35" s="5"/>
      <c r="C35" s="5"/>
      <c r="D35" s="5" t="str">
        <f t="shared" si="3"/>
        <v/>
      </c>
      <c r="E35" s="16"/>
      <c r="F35" s="2" t="str">
        <f t="shared" si="0"/>
        <v/>
      </c>
      <c r="G35" s="12"/>
      <c r="H35" s="12"/>
      <c r="I35" s="19" t="str">
        <f t="shared" si="1"/>
        <v/>
      </c>
      <c r="J35" s="18" t="str">
        <f t="array" ref="J35">IFERROR(INDEX($A$3:$A$42, MATCH(0, COUNTIF($J$2:J34, $A$3:$A$42&amp;"") + IF($A$3:$A$42="",1,0), 0)), "")</f>
        <v/>
      </c>
      <c r="K35" s="1" t="str">
        <f>IF($J35="","",ConcatIf($A$3:$A$42,$J35,$G$3:$G$42," ; "))</f>
        <v/>
      </c>
    </row>
    <row r="36" spans="1:11" x14ac:dyDescent="0.25">
      <c r="A36" s="1" t="str">
        <f t="shared" si="2"/>
        <v/>
      </c>
      <c r="B36" s="5"/>
      <c r="C36" s="5"/>
      <c r="D36" s="5" t="str">
        <f t="shared" si="3"/>
        <v/>
      </c>
      <c r="E36" s="16"/>
      <c r="F36" s="2" t="str">
        <f t="shared" si="0"/>
        <v/>
      </c>
      <c r="G36" s="12"/>
      <c r="H36" s="12"/>
      <c r="I36" s="19" t="str">
        <f t="shared" si="1"/>
        <v/>
      </c>
      <c r="J36" s="18" t="str">
        <f t="array" ref="J36">IFERROR(INDEX($A$3:$A$42, MATCH(0, COUNTIF($J$2:J35, $A$3:$A$42&amp;"") + IF($A$3:$A$42="",1,0), 0)), "")</f>
        <v/>
      </c>
      <c r="K36" s="1" t="str">
        <f>IF($J36="","",ConcatIf($A$3:$A$42,$J36,$G$3:$G$42," ; "))</f>
        <v/>
      </c>
    </row>
    <row r="37" spans="1:11" x14ac:dyDescent="0.25">
      <c r="A37" s="1" t="str">
        <f t="shared" si="2"/>
        <v/>
      </c>
      <c r="B37" s="5"/>
      <c r="C37" s="5"/>
      <c r="D37" s="5" t="str">
        <f t="shared" si="3"/>
        <v/>
      </c>
      <c r="E37" s="16"/>
      <c r="F37" s="2" t="str">
        <f t="shared" si="0"/>
        <v/>
      </c>
      <c r="G37" s="12"/>
      <c r="H37" s="12"/>
      <c r="I37" s="19" t="str">
        <f t="shared" si="1"/>
        <v/>
      </c>
      <c r="J37" s="18" t="str">
        <f t="array" ref="J37">IFERROR(INDEX($A$3:$A$42, MATCH(0, COUNTIF($J$2:J36, $A$3:$A$42&amp;"") + IF($A$3:$A$42="",1,0), 0)), "")</f>
        <v/>
      </c>
      <c r="K37" s="1" t="str">
        <f>IF($J37="","",ConcatIf($A$3:$A$42,$J37,$G$3:$G$42," ; "))</f>
        <v/>
      </c>
    </row>
    <row r="38" spans="1:11" x14ac:dyDescent="0.25">
      <c r="A38" s="1" t="str">
        <f t="shared" si="2"/>
        <v/>
      </c>
      <c r="B38" s="5"/>
      <c r="C38" s="5"/>
      <c r="D38" s="5" t="str">
        <f t="shared" si="3"/>
        <v/>
      </c>
      <c r="E38" s="16"/>
      <c r="F38" s="2" t="str">
        <f t="shared" si="0"/>
        <v/>
      </c>
      <c r="G38" s="12"/>
      <c r="H38" s="12"/>
      <c r="I38" s="19" t="str">
        <f t="shared" si="1"/>
        <v/>
      </c>
      <c r="J38" s="18" t="str">
        <f t="array" ref="J38">IFERROR(INDEX($A$3:$A$42, MATCH(0, COUNTIF($J$2:J37, $A$3:$A$42&amp;"") + IF($A$3:$A$42="",1,0), 0)), "")</f>
        <v/>
      </c>
      <c r="K38" s="1" t="str">
        <f>IF($J38="","",ConcatIf($A$3:$A$42,$J38,$G$3:$G$42," ; "))</f>
        <v/>
      </c>
    </row>
    <row r="39" spans="1:11" x14ac:dyDescent="0.25">
      <c r="A39" s="1" t="str">
        <f t="shared" si="2"/>
        <v/>
      </c>
      <c r="B39" s="5"/>
      <c r="C39" s="5"/>
      <c r="D39" s="5" t="str">
        <f t="shared" si="3"/>
        <v/>
      </c>
      <c r="E39" s="16"/>
      <c r="F39" s="2" t="str">
        <f t="shared" si="0"/>
        <v/>
      </c>
      <c r="G39" s="12"/>
      <c r="H39" s="12"/>
      <c r="I39" s="19" t="str">
        <f t="shared" si="1"/>
        <v/>
      </c>
      <c r="J39" s="18" t="str">
        <f t="array" ref="J39">IFERROR(INDEX($A$3:$A$42, MATCH(0, COUNTIF($J$2:J38, $A$3:$A$42&amp;"") + IF($A$3:$A$42="",1,0), 0)), "")</f>
        <v/>
      </c>
      <c r="K39" s="1" t="str">
        <f>IF($J39="","",ConcatIf($A$3:$A$42,$J39,$G$3:$G$42," ; "))</f>
        <v/>
      </c>
    </row>
    <row r="40" spans="1:11" x14ac:dyDescent="0.25">
      <c r="A40" s="1" t="str">
        <f t="shared" si="2"/>
        <v/>
      </c>
      <c r="B40" s="5"/>
      <c r="C40" s="5"/>
      <c r="D40" s="5" t="str">
        <f t="shared" si="3"/>
        <v/>
      </c>
      <c r="E40" s="16"/>
      <c r="F40" s="2" t="str">
        <f t="shared" si="0"/>
        <v/>
      </c>
      <c r="G40" s="12"/>
      <c r="H40" s="12"/>
      <c r="I40" s="19" t="str">
        <f t="shared" si="1"/>
        <v/>
      </c>
      <c r="J40" s="18" t="str">
        <f t="array" ref="J40">IFERROR(INDEX($A$3:$A$42, MATCH(0, COUNTIF($J$2:J39, $A$3:$A$42&amp;"") + IF($A$3:$A$42="",1,0), 0)), "")</f>
        <v/>
      </c>
      <c r="K40" s="1" t="str">
        <f>IF($J40="","",ConcatIf($A$3:$A$42,$J40,$G$3:$G$42," ; "))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40"/>
  <sheetViews>
    <sheetView workbookViewId="0">
      <pane ySplit="2" topLeftCell="A3" activePane="bottomLeft" state="frozen"/>
      <selection pane="bottomLeft" sqref="A1:A1048576"/>
    </sheetView>
  </sheetViews>
  <sheetFormatPr defaultRowHeight="15" x14ac:dyDescent="0.25"/>
  <cols>
    <col min="1" max="1" width="11.140625" style="1" hidden="1" customWidth="1"/>
    <col min="2" max="2" width="9.140625" style="1"/>
    <col min="3" max="3" width="9" style="1" customWidth="1"/>
    <col min="4" max="5" width="11.5703125" style="5" customWidth="1"/>
    <col min="6" max="6" width="7.7109375" style="2" bestFit="1" customWidth="1"/>
    <col min="7" max="7" width="32.7109375" style="9" customWidth="1"/>
    <col min="8" max="8" width="43.85546875" style="20" customWidth="1"/>
    <col min="9" max="10" width="9.140625" style="1"/>
    <col min="11" max="11" width="35.28515625" style="1" customWidth="1"/>
    <col min="12" max="16384" width="9.140625" style="1"/>
  </cols>
  <sheetData>
    <row r="1" spans="1:12" x14ac:dyDescent="0.25">
      <c r="C1" s="10" t="s">
        <v>43</v>
      </c>
      <c r="E1" s="17">
        <f>SUM($I$2:$I40)</f>
        <v>0</v>
      </c>
      <c r="F1" s="17"/>
      <c r="G1" s="26" t="s">
        <v>44</v>
      </c>
      <c r="H1" s="17">
        <f>SUM('05-08 Wed'!H1,E1)</f>
        <v>0</v>
      </c>
    </row>
    <row r="2" spans="1:12" x14ac:dyDescent="0.25">
      <c r="A2" s="22" t="s">
        <v>47</v>
      </c>
      <c r="B2" s="22" t="s">
        <v>45</v>
      </c>
      <c r="C2" s="22" t="s">
        <v>6</v>
      </c>
      <c r="D2" s="23" t="s">
        <v>0</v>
      </c>
      <c r="E2" s="23" t="s">
        <v>1</v>
      </c>
      <c r="F2" s="23" t="s">
        <v>2</v>
      </c>
      <c r="G2" s="24" t="s">
        <v>3</v>
      </c>
      <c r="H2" s="25" t="s">
        <v>28</v>
      </c>
      <c r="I2" s="22" t="s">
        <v>2</v>
      </c>
      <c r="J2" s="22" t="s">
        <v>47</v>
      </c>
      <c r="K2" s="24" t="s">
        <v>3</v>
      </c>
    </row>
    <row r="3" spans="1:12" x14ac:dyDescent="0.25">
      <c r="A3" s="1" t="str">
        <f>IF(ISBLANK(C3),IF(ISBLANK(B3),"",B3),_xlfn.CONCAT(B3,"-",C3))</f>
        <v/>
      </c>
      <c r="F3" s="2" t="str">
        <f t="shared" ref="F3:F40" si="0">IF(OR(ISBLANK(E3),ISBLANK(D3),ISBLANK(A3)),"",(E3-D3)*24)</f>
        <v/>
      </c>
      <c r="G3" s="1"/>
      <c r="H3" s="1"/>
      <c r="I3" s="19" t="str">
        <f t="shared" ref="I3:I40" si="1">IF($J3="","",MROUND(SUMIF(A:A,"="&amp;J3,F:F),0.25))</f>
        <v/>
      </c>
      <c r="J3" s="18" t="str">
        <f t="array" ref="J3">IFERROR(INDEX($A$3:$A$42, MATCH(0, COUNTIF($J$2:J2, $A$3:$A$42&amp;"") + IF($A$3:$A$42="",1,0), 0)), "")</f>
        <v/>
      </c>
      <c r="K3" s="1" t="str">
        <f>IF($J3="","",ConcatIf($A$3:$A$42,$J3,$G$3:$G$42," ; "))</f>
        <v/>
      </c>
    </row>
    <row r="4" spans="1:12" x14ac:dyDescent="0.25">
      <c r="A4" s="1" t="str">
        <f t="shared" ref="A4:A40" si="2">IF(ISBLANK(C4),IF(ISBLANK(B4),"",B4),_xlfn.CONCAT(B4,"-",C4))</f>
        <v/>
      </c>
      <c r="D4" s="5" t="str">
        <f>IF(ISBLANK(E3),"",E3)</f>
        <v/>
      </c>
      <c r="F4" s="2" t="str">
        <f t="shared" si="0"/>
        <v/>
      </c>
      <c r="G4" s="1"/>
      <c r="H4" s="13"/>
      <c r="I4" s="19" t="str">
        <f t="shared" si="1"/>
        <v/>
      </c>
      <c r="J4" s="18" t="str">
        <f t="array" ref="J4">IFERROR(INDEX($A$3:$A$42, MATCH(0, COUNTIF($J$2:J3, $A$3:$A$42&amp;"") + IF($A$3:$A$42="",1,0), 0)), "")</f>
        <v/>
      </c>
      <c r="K4" s="1" t="str">
        <f>IF($J4="","",ConcatIf($A$3:$A$42,$J4,$G$3:$G$42," ; "))</f>
        <v/>
      </c>
    </row>
    <row r="5" spans="1:12" x14ac:dyDescent="0.25">
      <c r="A5" s="1" t="str">
        <f t="shared" si="2"/>
        <v/>
      </c>
      <c r="D5" s="5" t="str">
        <f t="shared" ref="D5:D40" si="3">IF(ISBLANK(E4),"",E4)</f>
        <v/>
      </c>
      <c r="F5" s="2" t="str">
        <f t="shared" si="0"/>
        <v/>
      </c>
      <c r="G5" s="1"/>
      <c r="H5" s="13"/>
      <c r="I5" s="19" t="str">
        <f t="shared" si="1"/>
        <v/>
      </c>
      <c r="J5" s="18" t="str">
        <f t="array" ref="J5">IFERROR(INDEX($A$3:$A$42, MATCH(0, COUNTIF($J$2:J4, $A$3:$A$42&amp;"") + IF($A$3:$A$42="",1,0), 0)), "")</f>
        <v/>
      </c>
      <c r="K5" s="1" t="str">
        <f>IF($J5="","",ConcatIf($A$3:$A$42,$J5,$G$3:$G$42," ; "))</f>
        <v/>
      </c>
      <c r="L5" s="7"/>
    </row>
    <row r="6" spans="1:12" x14ac:dyDescent="0.25">
      <c r="A6" s="1" t="str">
        <f t="shared" si="2"/>
        <v/>
      </c>
      <c r="D6" s="5" t="str">
        <f t="shared" si="3"/>
        <v/>
      </c>
      <c r="F6" s="2" t="str">
        <f t="shared" si="0"/>
        <v/>
      </c>
      <c r="G6" s="1"/>
      <c r="H6" s="13"/>
      <c r="I6" s="19" t="str">
        <f t="shared" si="1"/>
        <v/>
      </c>
      <c r="J6" s="18" t="str">
        <f t="array" ref="J6">IFERROR(INDEX($A$3:$A$42, MATCH(0, COUNTIF($J$2:J5, $A$3:$A$42&amp;"") + IF($A$3:$A$42="",1,0), 0)), "")</f>
        <v/>
      </c>
      <c r="K6" s="1" t="str">
        <f>IF($J6="","",ConcatIf($A$3:$A$42,$J6,$G$3:$G$42," ; "))</f>
        <v/>
      </c>
      <c r="L6" s="7"/>
    </row>
    <row r="7" spans="1:12" x14ac:dyDescent="0.25">
      <c r="A7" s="1" t="str">
        <f t="shared" si="2"/>
        <v/>
      </c>
      <c r="D7" s="5" t="str">
        <f t="shared" si="3"/>
        <v/>
      </c>
      <c r="F7" s="2" t="str">
        <f t="shared" si="0"/>
        <v/>
      </c>
      <c r="G7" s="1"/>
      <c r="H7" s="13"/>
      <c r="I7" s="19" t="str">
        <f t="shared" si="1"/>
        <v/>
      </c>
      <c r="J7" s="18" t="str">
        <f t="array" ref="J7">IFERROR(INDEX($A$3:$A$42, MATCH(0, COUNTIF($J$2:J6, $A$3:$A$42&amp;"") + IF($A$3:$A$42="",1,0), 0)), "")</f>
        <v/>
      </c>
      <c r="K7" s="1" t="str">
        <f>IF($J7="","",ConcatIf($A$3:$A$42,$J7,$G$3:$G$42," ; "))</f>
        <v/>
      </c>
      <c r="L7" s="7"/>
    </row>
    <row r="8" spans="1:12" x14ac:dyDescent="0.25">
      <c r="A8" s="1" t="str">
        <f t="shared" si="2"/>
        <v/>
      </c>
      <c r="D8" s="5" t="str">
        <f t="shared" si="3"/>
        <v/>
      </c>
      <c r="F8" s="2" t="str">
        <f t="shared" si="0"/>
        <v/>
      </c>
      <c r="G8" s="1"/>
      <c r="H8" s="13"/>
      <c r="I8" s="19" t="str">
        <f t="shared" si="1"/>
        <v/>
      </c>
      <c r="J8" s="18" t="str">
        <f t="array" ref="J8">IFERROR(INDEX($A$3:$A$42, MATCH(0, COUNTIF($J$2:J7, $A$3:$A$42&amp;"") + IF($A$3:$A$42="",1,0), 0)), "")</f>
        <v/>
      </c>
      <c r="K8" s="1" t="str">
        <f>IF($J8="","",ConcatIf($A$3:$A$42,$J8,$G$3:$G$42," ; "))</f>
        <v/>
      </c>
    </row>
    <row r="9" spans="1:12" x14ac:dyDescent="0.25">
      <c r="A9" s="1" t="str">
        <f t="shared" si="2"/>
        <v/>
      </c>
      <c r="D9" s="5" t="str">
        <f t="shared" si="3"/>
        <v/>
      </c>
      <c r="F9" s="2" t="str">
        <f t="shared" si="0"/>
        <v/>
      </c>
      <c r="G9" s="1"/>
      <c r="H9" s="14"/>
      <c r="I9" s="19" t="str">
        <f t="shared" si="1"/>
        <v/>
      </c>
      <c r="J9" s="18" t="str">
        <f t="array" ref="J9">IFERROR(INDEX($A$3:$A$42, MATCH(0, COUNTIF($J$2:J8, $A$3:$A$42&amp;"") + IF($A$3:$A$42="",1,0), 0)), "")</f>
        <v/>
      </c>
      <c r="K9" s="1" t="str">
        <f>IF($J9="","",ConcatIf($A$3:$A$42,$J9,$G$3:$G$42," ; "))</f>
        <v/>
      </c>
    </row>
    <row r="10" spans="1:12" x14ac:dyDescent="0.25">
      <c r="A10" s="1" t="str">
        <f t="shared" si="2"/>
        <v/>
      </c>
      <c r="D10" s="5" t="str">
        <f t="shared" si="3"/>
        <v/>
      </c>
      <c r="F10" s="2" t="str">
        <f t="shared" si="0"/>
        <v/>
      </c>
      <c r="G10" s="1"/>
      <c r="H10" s="13"/>
      <c r="I10" s="19" t="str">
        <f t="shared" si="1"/>
        <v/>
      </c>
      <c r="J10" s="18" t="str">
        <f t="array" ref="J10">IFERROR(INDEX($A$3:$A$42, MATCH(0, COUNTIF($J$2:J9, $A$3:$A$42&amp;"") + IF($A$3:$A$42="",1,0), 0)), "")</f>
        <v/>
      </c>
      <c r="K10" s="1" t="str">
        <f>IF($J10="","",ConcatIf($A$3:$A$42,$J10,$G$3:$G$42," ; "))</f>
        <v/>
      </c>
    </row>
    <row r="11" spans="1:12" x14ac:dyDescent="0.25">
      <c r="A11" s="1" t="str">
        <f t="shared" si="2"/>
        <v/>
      </c>
      <c r="D11" s="5" t="str">
        <f t="shared" si="3"/>
        <v/>
      </c>
      <c r="F11" s="2" t="str">
        <f t="shared" si="0"/>
        <v/>
      </c>
      <c r="G11" s="12"/>
      <c r="H11" s="13"/>
      <c r="I11" s="19" t="str">
        <f t="shared" si="1"/>
        <v/>
      </c>
      <c r="J11" s="18" t="str">
        <f t="array" ref="J11">IFERROR(INDEX($A$3:$A$42, MATCH(0, COUNTIF($J$2:J10, $A$3:$A$42&amp;"") + IF($A$3:$A$42="",1,0), 0)), "")</f>
        <v/>
      </c>
      <c r="K11" s="1" t="str">
        <f>IF($J11="","",ConcatIf($A$3:$A$42,$J11,$G$3:$G$42," ; "))</f>
        <v/>
      </c>
    </row>
    <row r="12" spans="1:12" x14ac:dyDescent="0.25">
      <c r="A12" s="1" t="str">
        <f t="shared" si="2"/>
        <v/>
      </c>
      <c r="D12" s="5" t="str">
        <f t="shared" si="3"/>
        <v/>
      </c>
      <c r="F12" s="2" t="str">
        <f t="shared" si="0"/>
        <v/>
      </c>
      <c r="G12" s="12"/>
      <c r="H12" s="13"/>
      <c r="I12" s="19" t="str">
        <f t="shared" si="1"/>
        <v/>
      </c>
      <c r="J12" s="18" t="str">
        <f t="array" ref="J12">IFERROR(INDEX($A$3:$A$42, MATCH(0, COUNTIF($J$2:J11, $A$3:$A$42&amp;"") + IF($A$3:$A$42="",1,0), 0)), "")</f>
        <v/>
      </c>
      <c r="K12" s="1" t="str">
        <f>IF($J12="","",ConcatIf($A$3:$A$42,$J12,$G$3:$G$42," ; "))</f>
        <v/>
      </c>
    </row>
    <row r="13" spans="1:12" x14ac:dyDescent="0.25">
      <c r="A13" s="1" t="str">
        <f t="shared" si="2"/>
        <v/>
      </c>
      <c r="D13" s="5" t="str">
        <f t="shared" si="3"/>
        <v/>
      </c>
      <c r="F13" s="2" t="str">
        <f t="shared" si="0"/>
        <v/>
      </c>
      <c r="G13" s="12"/>
      <c r="H13" s="13"/>
      <c r="I13" s="19" t="str">
        <f t="shared" si="1"/>
        <v/>
      </c>
      <c r="J13" s="18" t="str">
        <f t="array" ref="J13">IFERROR(INDEX($A$3:$A$42, MATCH(0, COUNTIF($J$2:J12, $A$3:$A$42&amp;"") + IF($A$3:$A$42="",1,0), 0)), "")</f>
        <v/>
      </c>
      <c r="K13" s="1" t="str">
        <f>IF($J13="","",ConcatIf($A$3:$A$42,$J13,$G$3:$G$42," ; "))</f>
        <v/>
      </c>
    </row>
    <row r="14" spans="1:12" x14ac:dyDescent="0.25">
      <c r="A14" s="1" t="str">
        <f t="shared" si="2"/>
        <v/>
      </c>
      <c r="D14" s="5" t="str">
        <f t="shared" si="3"/>
        <v/>
      </c>
      <c r="F14" s="2" t="str">
        <f t="shared" si="0"/>
        <v/>
      </c>
      <c r="G14" s="12"/>
      <c r="H14" s="13"/>
      <c r="I14" s="19" t="str">
        <f t="shared" si="1"/>
        <v/>
      </c>
      <c r="J14" s="18" t="str">
        <f t="array" ref="J14">IFERROR(INDEX($A$3:$A$42, MATCH(0, COUNTIF($J$2:J13, $A$3:$A$42&amp;"") + IF($A$3:$A$42="",1,0), 0)), "")</f>
        <v/>
      </c>
      <c r="K14" s="1" t="str">
        <f>IF($J14="","",ConcatIf($A$3:$A$42,$J14,$G$3:$G$42," ; "))</f>
        <v/>
      </c>
    </row>
    <row r="15" spans="1:12" x14ac:dyDescent="0.25">
      <c r="A15" s="1" t="str">
        <f t="shared" si="2"/>
        <v/>
      </c>
      <c r="D15" s="5" t="str">
        <f t="shared" si="3"/>
        <v/>
      </c>
      <c r="F15" s="2" t="str">
        <f t="shared" si="0"/>
        <v/>
      </c>
      <c r="G15" s="12"/>
      <c r="H15" s="13"/>
      <c r="I15" s="19" t="str">
        <f t="shared" si="1"/>
        <v/>
      </c>
      <c r="J15" s="18" t="str">
        <f t="array" ref="J15">IFERROR(INDEX($A$3:$A$42, MATCH(0, COUNTIF($J$2:J14, $A$3:$A$42&amp;"") + IF($A$3:$A$42="",1,0), 0)), "")</f>
        <v/>
      </c>
      <c r="K15" s="1" t="str">
        <f>IF($J15="","",ConcatIf($A$3:$A$42,$J15,$G$3:$G$42," ; "))</f>
        <v/>
      </c>
    </row>
    <row r="16" spans="1:12" x14ac:dyDescent="0.25">
      <c r="A16" s="1" t="str">
        <f t="shared" si="2"/>
        <v/>
      </c>
      <c r="D16" s="5" t="str">
        <f t="shared" si="3"/>
        <v/>
      </c>
      <c r="F16" s="2" t="str">
        <f t="shared" si="0"/>
        <v/>
      </c>
      <c r="G16" s="12"/>
      <c r="H16" s="13"/>
      <c r="I16" s="19" t="str">
        <f t="shared" si="1"/>
        <v/>
      </c>
      <c r="J16" s="18" t="str">
        <f t="array" ref="J16">IFERROR(INDEX($A$3:$A$42, MATCH(0, COUNTIF($J$2:J15, $A$3:$A$42&amp;"") + IF($A$3:$A$42="",1,0), 0)), "")</f>
        <v/>
      </c>
      <c r="K16" s="1" t="str">
        <f>IF($J16="","",ConcatIf($A$3:$A$42,$J16,$G$3:$G$42," ; "))</f>
        <v/>
      </c>
    </row>
    <row r="17" spans="1:11" x14ac:dyDescent="0.25">
      <c r="A17" s="1" t="str">
        <f t="shared" si="2"/>
        <v/>
      </c>
      <c r="D17" s="5" t="str">
        <f t="shared" si="3"/>
        <v/>
      </c>
      <c r="F17" s="2" t="str">
        <f t="shared" si="0"/>
        <v/>
      </c>
      <c r="G17" s="12"/>
      <c r="H17" s="13"/>
      <c r="I17" s="19" t="str">
        <f t="shared" si="1"/>
        <v/>
      </c>
      <c r="J17" s="18" t="str">
        <f t="array" ref="J17">IFERROR(INDEX($A$3:$A$42, MATCH(0, COUNTIF($J$2:J16, $A$3:$A$42&amp;"") + IF($A$3:$A$42="",1,0), 0)), "")</f>
        <v/>
      </c>
      <c r="K17" s="1" t="str">
        <f>IF($J17="","",ConcatIf($A$3:$A$42,$J17,$G$3:$G$42," ; "))</f>
        <v/>
      </c>
    </row>
    <row r="18" spans="1:11" x14ac:dyDescent="0.25">
      <c r="A18" s="1" t="str">
        <f t="shared" si="2"/>
        <v/>
      </c>
      <c r="D18" s="5" t="str">
        <f t="shared" si="3"/>
        <v/>
      </c>
      <c r="F18" s="2" t="str">
        <f t="shared" si="0"/>
        <v/>
      </c>
      <c r="G18" s="12"/>
      <c r="H18" s="13"/>
      <c r="I18" s="19" t="str">
        <f t="shared" si="1"/>
        <v/>
      </c>
      <c r="J18" s="18" t="str">
        <f t="array" ref="J18">IFERROR(INDEX($A$3:$A$42, MATCH(0, COUNTIF($J$2:J17, $A$3:$A$42&amp;"") + IF($A$3:$A$42="",1,0), 0)), "")</f>
        <v/>
      </c>
      <c r="K18" s="1" t="str">
        <f>IF($J18="","",ConcatIf($A$3:$A$42,$J18,$G$3:$G$42," ; "))</f>
        <v/>
      </c>
    </row>
    <row r="19" spans="1:11" x14ac:dyDescent="0.25">
      <c r="A19" s="1" t="str">
        <f t="shared" si="2"/>
        <v/>
      </c>
      <c r="B19" s="12"/>
      <c r="D19" s="5" t="str">
        <f t="shared" si="3"/>
        <v/>
      </c>
      <c r="F19" s="2" t="str">
        <f t="shared" si="0"/>
        <v/>
      </c>
      <c r="G19" s="12"/>
      <c r="H19" s="13"/>
      <c r="I19" s="19" t="str">
        <f t="shared" si="1"/>
        <v/>
      </c>
      <c r="J19" s="18" t="str">
        <f t="array" ref="J19">IFERROR(INDEX($A$3:$A$42, MATCH(0, COUNTIF($J$2:J18, $A$3:$A$42&amp;"") + IF($A$3:$A$42="",1,0), 0)), "")</f>
        <v/>
      </c>
      <c r="K19" s="1" t="str">
        <f>IF($J19="","",ConcatIf($A$3:$A$42,$J19,$G$3:$G$42," ; "))</f>
        <v/>
      </c>
    </row>
    <row r="20" spans="1:11" x14ac:dyDescent="0.25">
      <c r="A20" s="1" t="str">
        <f t="shared" si="2"/>
        <v/>
      </c>
      <c r="D20" s="5" t="str">
        <f t="shared" si="3"/>
        <v/>
      </c>
      <c r="F20" s="2" t="str">
        <f t="shared" si="0"/>
        <v/>
      </c>
      <c r="G20" s="12"/>
      <c r="H20" s="13"/>
      <c r="I20" s="19" t="str">
        <f t="shared" si="1"/>
        <v/>
      </c>
      <c r="J20" s="18" t="str">
        <f t="array" ref="J20">IFERROR(INDEX($A$3:$A$42, MATCH(0, COUNTIF($J$2:J19, $A$3:$A$42&amp;"") + IF($A$3:$A$42="",1,0), 0)), "")</f>
        <v/>
      </c>
      <c r="K20" s="1" t="str">
        <f>IF($J20="","",ConcatIf($A$3:$A$42,$J20,$G$3:$G$42," ; "))</f>
        <v/>
      </c>
    </row>
    <row r="21" spans="1:11" x14ac:dyDescent="0.25">
      <c r="A21" s="1" t="str">
        <f t="shared" si="2"/>
        <v/>
      </c>
      <c r="D21" s="5" t="str">
        <f t="shared" si="3"/>
        <v/>
      </c>
      <c r="F21" s="2" t="str">
        <f t="shared" si="0"/>
        <v/>
      </c>
      <c r="G21" s="12"/>
      <c r="H21" s="13"/>
      <c r="I21" s="19" t="str">
        <f t="shared" si="1"/>
        <v/>
      </c>
      <c r="J21" s="18" t="str">
        <f t="array" ref="J21">IFERROR(INDEX($A$3:$A$42, MATCH(0, COUNTIF($J$2:J20, $A$3:$A$42&amp;"") + IF($A$3:$A$42="",1,0), 0)), "")</f>
        <v/>
      </c>
      <c r="K21" s="1" t="str">
        <f>IF($J21="","",ConcatIf($A$3:$A$42,$J21,$G$3:$G$42," ; "))</f>
        <v/>
      </c>
    </row>
    <row r="22" spans="1:11" x14ac:dyDescent="0.25">
      <c r="A22" s="1" t="str">
        <f t="shared" si="2"/>
        <v/>
      </c>
      <c r="D22" s="5" t="str">
        <f t="shared" si="3"/>
        <v/>
      </c>
      <c r="F22" s="2" t="str">
        <f t="shared" si="0"/>
        <v/>
      </c>
      <c r="G22" s="12"/>
      <c r="H22" s="13"/>
      <c r="I22" s="19" t="str">
        <f t="shared" si="1"/>
        <v/>
      </c>
      <c r="J22" s="18" t="str">
        <f t="array" ref="J22">IFERROR(INDEX($A$3:$A$42, MATCH(0, COUNTIF($J$2:J21, $A$3:$A$42&amp;"") + IF($A$3:$A$42="",1,0), 0)), "")</f>
        <v/>
      </c>
      <c r="K22" s="1" t="str">
        <f>IF($J22="","",ConcatIf($A$3:$A$42,$J22,$G$3:$G$42," ; "))</f>
        <v/>
      </c>
    </row>
    <row r="23" spans="1:11" x14ac:dyDescent="0.25">
      <c r="A23" s="1" t="str">
        <f t="shared" si="2"/>
        <v/>
      </c>
      <c r="D23" s="5" t="str">
        <f t="shared" si="3"/>
        <v/>
      </c>
      <c r="F23" s="2" t="str">
        <f t="shared" si="0"/>
        <v/>
      </c>
      <c r="G23" s="12"/>
      <c r="H23" s="12"/>
      <c r="I23" s="19" t="str">
        <f t="shared" si="1"/>
        <v/>
      </c>
      <c r="J23" s="18" t="str">
        <f t="array" ref="J23">IFERROR(INDEX($A$3:$A$42, MATCH(0, COUNTIF($J$2:J22, $A$3:$A$42&amp;"") + IF($A$3:$A$42="",1,0), 0)), "")</f>
        <v/>
      </c>
      <c r="K23" s="1" t="str">
        <f>IF($J23="","",ConcatIf($A$3:$A$42,$J23,$G$3:$G$42," ; "))</f>
        <v/>
      </c>
    </row>
    <row r="24" spans="1:11" x14ac:dyDescent="0.25">
      <c r="A24" s="1" t="str">
        <f t="shared" si="2"/>
        <v/>
      </c>
      <c r="B24" s="5"/>
      <c r="C24" s="5"/>
      <c r="D24" s="5" t="str">
        <f t="shared" si="3"/>
        <v/>
      </c>
      <c r="E24" s="16"/>
      <c r="F24" s="2" t="str">
        <f t="shared" si="0"/>
        <v/>
      </c>
      <c r="G24" s="12"/>
      <c r="H24" s="1"/>
      <c r="I24" s="19" t="str">
        <f t="shared" si="1"/>
        <v/>
      </c>
      <c r="J24" s="18" t="str">
        <f t="array" ref="J24">IFERROR(INDEX($A$3:$A$42, MATCH(0, COUNTIF($J$2:J23, $A$3:$A$42&amp;"") + IF($A$3:$A$42="",1,0), 0)), "")</f>
        <v/>
      </c>
      <c r="K24" s="1" t="str">
        <f>IF($J24="","",ConcatIf($A$3:$A$42,$J24,$G$3:$G$42," ; "))</f>
        <v/>
      </c>
    </row>
    <row r="25" spans="1:11" x14ac:dyDescent="0.25">
      <c r="A25" s="1" t="str">
        <f t="shared" si="2"/>
        <v/>
      </c>
      <c r="D25" s="5" t="str">
        <f t="shared" si="3"/>
        <v/>
      </c>
      <c r="E25" s="16"/>
      <c r="F25" s="2" t="str">
        <f t="shared" si="0"/>
        <v/>
      </c>
      <c r="G25" s="12"/>
      <c r="H25" s="12"/>
      <c r="I25" s="19" t="str">
        <f t="shared" si="1"/>
        <v/>
      </c>
      <c r="J25" s="18" t="str">
        <f t="array" ref="J25">IFERROR(INDEX($A$3:$A$42, MATCH(0, COUNTIF($J$2:J24, $A$3:$A$42&amp;"") + IF($A$3:$A$42="",1,0), 0)), "")</f>
        <v/>
      </c>
      <c r="K25" s="1" t="str">
        <f>IF($J25="","",ConcatIf($A$3:$A$42,$J25,$G$3:$G$42," ; "))</f>
        <v/>
      </c>
    </row>
    <row r="26" spans="1:11" x14ac:dyDescent="0.25">
      <c r="A26" s="1" t="str">
        <f t="shared" si="2"/>
        <v/>
      </c>
      <c r="D26" s="5" t="str">
        <f t="shared" si="3"/>
        <v/>
      </c>
      <c r="E26" s="16"/>
      <c r="F26" s="2" t="str">
        <f t="shared" si="0"/>
        <v/>
      </c>
      <c r="G26" s="12"/>
      <c r="H26" s="12"/>
      <c r="I26" s="19" t="str">
        <f t="shared" si="1"/>
        <v/>
      </c>
      <c r="J26" s="18" t="str">
        <f t="array" ref="J26">IFERROR(INDEX($A$3:$A$42, MATCH(0, COUNTIF($J$2:J25, $A$3:$A$42&amp;"") + IF($A$3:$A$42="",1,0), 0)), "")</f>
        <v/>
      </c>
      <c r="K26" s="1" t="str">
        <f>IF($J26="","",ConcatIf($A$3:$A$42,$J26,$G$3:$G$42," ; "))</f>
        <v/>
      </c>
    </row>
    <row r="27" spans="1:11" x14ac:dyDescent="0.25">
      <c r="A27" s="1" t="str">
        <f t="shared" si="2"/>
        <v/>
      </c>
      <c r="D27" s="5" t="str">
        <f t="shared" si="3"/>
        <v/>
      </c>
      <c r="E27" s="16"/>
      <c r="F27" s="2" t="str">
        <f t="shared" si="0"/>
        <v/>
      </c>
      <c r="G27" s="12"/>
      <c r="H27" s="12"/>
      <c r="I27" s="19" t="str">
        <f t="shared" si="1"/>
        <v/>
      </c>
      <c r="J27" s="18" t="str">
        <f t="array" ref="J27">IFERROR(INDEX($A$3:$A$42, MATCH(0, COUNTIF($J$2:J26, $A$3:$A$42&amp;"") + IF($A$3:$A$42="",1,0), 0)), "")</f>
        <v/>
      </c>
      <c r="K27" s="1" t="str">
        <f>IF($J27="","",ConcatIf($A$3:$A$42,$J27,$G$3:$G$42," ; "))</f>
        <v/>
      </c>
    </row>
    <row r="28" spans="1:11" x14ac:dyDescent="0.25">
      <c r="A28" s="1" t="str">
        <f t="shared" si="2"/>
        <v/>
      </c>
      <c r="B28" s="5"/>
      <c r="C28" s="5"/>
      <c r="D28" s="5" t="str">
        <f t="shared" si="3"/>
        <v/>
      </c>
      <c r="E28" s="16"/>
      <c r="F28" s="2" t="str">
        <f t="shared" si="0"/>
        <v/>
      </c>
      <c r="G28" s="12"/>
      <c r="H28" s="12"/>
      <c r="I28" s="19" t="str">
        <f t="shared" si="1"/>
        <v/>
      </c>
      <c r="J28" s="18" t="str">
        <f t="array" ref="J28">IFERROR(INDEX($A$3:$A$42, MATCH(0, COUNTIF($J$2:J27, $A$3:$A$42&amp;"") + IF($A$3:$A$42="",1,0), 0)), "")</f>
        <v/>
      </c>
      <c r="K28" s="1" t="str">
        <f>IF($J28="","",ConcatIf($A$3:$A$42,$J28,$G$3:$G$42," ; "))</f>
        <v/>
      </c>
    </row>
    <row r="29" spans="1:11" x14ac:dyDescent="0.25">
      <c r="A29" s="1" t="str">
        <f t="shared" si="2"/>
        <v/>
      </c>
      <c r="D29" s="5" t="str">
        <f t="shared" si="3"/>
        <v/>
      </c>
      <c r="E29" s="16"/>
      <c r="F29" s="2" t="str">
        <f t="shared" si="0"/>
        <v/>
      </c>
      <c r="G29" s="12"/>
      <c r="H29" s="12"/>
      <c r="I29" s="19" t="str">
        <f t="shared" si="1"/>
        <v/>
      </c>
      <c r="J29" s="18" t="str">
        <f t="array" ref="J29">IFERROR(INDEX($A$3:$A$42, MATCH(0, COUNTIF($J$2:J28, $A$3:$A$42&amp;"") + IF($A$3:$A$42="",1,0), 0)), "")</f>
        <v/>
      </c>
      <c r="K29" s="1" t="str">
        <f>IF($J29="","",ConcatIf($A$3:$A$42,$J29,$G$3:$G$42," ; "))</f>
        <v/>
      </c>
    </row>
    <row r="30" spans="1:11" x14ac:dyDescent="0.25">
      <c r="A30" s="1" t="str">
        <f t="shared" si="2"/>
        <v/>
      </c>
      <c r="B30" s="5"/>
      <c r="C30" s="5"/>
      <c r="D30" s="5" t="str">
        <f t="shared" si="3"/>
        <v/>
      </c>
      <c r="E30" s="16"/>
      <c r="F30" s="2" t="str">
        <f t="shared" si="0"/>
        <v/>
      </c>
      <c r="G30" s="12"/>
      <c r="H30" s="12"/>
      <c r="I30" s="19" t="str">
        <f t="shared" si="1"/>
        <v/>
      </c>
      <c r="J30" s="18" t="str">
        <f t="array" ref="J30">IFERROR(INDEX($A$3:$A$42, MATCH(0, COUNTIF($J$2:J29, $A$3:$A$42&amp;"") + IF($A$3:$A$42="",1,0), 0)), "")</f>
        <v/>
      </c>
      <c r="K30" s="1" t="str">
        <f>IF($J30="","",ConcatIf($A$3:$A$42,$J30,$G$3:$G$42," ; "))</f>
        <v/>
      </c>
    </row>
    <row r="31" spans="1:11" x14ac:dyDescent="0.25">
      <c r="A31" s="1" t="str">
        <f t="shared" si="2"/>
        <v/>
      </c>
      <c r="D31" s="5" t="str">
        <f t="shared" si="3"/>
        <v/>
      </c>
      <c r="E31" s="16"/>
      <c r="F31" s="2" t="str">
        <f t="shared" si="0"/>
        <v/>
      </c>
      <c r="G31" s="12"/>
      <c r="H31" s="12"/>
      <c r="I31" s="19" t="str">
        <f t="shared" si="1"/>
        <v/>
      </c>
      <c r="J31" s="18" t="str">
        <f t="array" ref="J31">IFERROR(INDEX($A$3:$A$42, MATCH(0, COUNTIF($J$2:J30, $A$3:$A$42&amp;"") + IF($A$3:$A$42="",1,0), 0)), "")</f>
        <v/>
      </c>
      <c r="K31" s="1" t="str">
        <f>IF($J31="","",ConcatIf($A$3:$A$42,$J31,$G$3:$G$42," ; "))</f>
        <v/>
      </c>
    </row>
    <row r="32" spans="1:11" x14ac:dyDescent="0.25">
      <c r="A32" s="1" t="str">
        <f t="shared" si="2"/>
        <v/>
      </c>
      <c r="B32" s="5"/>
      <c r="C32" s="5"/>
      <c r="D32" s="5" t="str">
        <f t="shared" si="3"/>
        <v/>
      </c>
      <c r="E32" s="16"/>
      <c r="F32" s="2" t="str">
        <f t="shared" si="0"/>
        <v/>
      </c>
      <c r="G32" s="12"/>
      <c r="H32" s="12"/>
      <c r="I32" s="19" t="str">
        <f t="shared" si="1"/>
        <v/>
      </c>
      <c r="J32" s="18" t="str">
        <f t="array" ref="J32">IFERROR(INDEX($A$3:$A$42, MATCH(0, COUNTIF($J$2:J31, $A$3:$A$42&amp;"") + IF($A$3:$A$42="",1,0), 0)), "")</f>
        <v/>
      </c>
      <c r="K32" s="1" t="str">
        <f>IF($J32="","",ConcatIf($A$3:$A$42,$J32,$G$3:$G$42," ; "))</f>
        <v/>
      </c>
    </row>
    <row r="33" spans="1:11" x14ac:dyDescent="0.25">
      <c r="A33" s="1" t="str">
        <f t="shared" si="2"/>
        <v/>
      </c>
      <c r="B33" s="5"/>
      <c r="C33" s="5"/>
      <c r="D33" s="5" t="str">
        <f t="shared" si="3"/>
        <v/>
      </c>
      <c r="E33" s="16"/>
      <c r="F33" s="2" t="str">
        <f t="shared" si="0"/>
        <v/>
      </c>
      <c r="G33" s="12"/>
      <c r="H33" s="12"/>
      <c r="I33" s="19" t="str">
        <f t="shared" si="1"/>
        <v/>
      </c>
      <c r="J33" s="18" t="str">
        <f t="array" ref="J33">IFERROR(INDEX($A$3:$A$42, MATCH(0, COUNTIF($J$2:J32, $A$3:$A$42&amp;"") + IF($A$3:$A$42="",1,0), 0)), "")</f>
        <v/>
      </c>
      <c r="K33" s="1" t="str">
        <f>IF($J33="","",ConcatIf($A$3:$A$42,$J33,$G$3:$G$42," ; "))</f>
        <v/>
      </c>
    </row>
    <row r="34" spans="1:11" x14ac:dyDescent="0.25">
      <c r="A34" s="1" t="str">
        <f t="shared" si="2"/>
        <v/>
      </c>
      <c r="B34" s="5"/>
      <c r="C34" s="5"/>
      <c r="D34" s="5" t="str">
        <f t="shared" si="3"/>
        <v/>
      </c>
      <c r="E34" s="16"/>
      <c r="F34" s="2" t="str">
        <f t="shared" si="0"/>
        <v/>
      </c>
      <c r="G34" s="12"/>
      <c r="H34" s="12"/>
      <c r="I34" s="19" t="str">
        <f t="shared" si="1"/>
        <v/>
      </c>
      <c r="J34" s="18" t="str">
        <f t="array" ref="J34">IFERROR(INDEX($A$3:$A$42, MATCH(0, COUNTIF($J$2:J33, $A$3:$A$42&amp;"") + IF($A$3:$A$42="",1,0), 0)), "")</f>
        <v/>
      </c>
      <c r="K34" s="1" t="str">
        <f>IF($J34="","",ConcatIf($A$3:$A$42,$J34,$G$3:$G$42," ; "))</f>
        <v/>
      </c>
    </row>
    <row r="35" spans="1:11" x14ac:dyDescent="0.25">
      <c r="A35" s="1" t="str">
        <f t="shared" si="2"/>
        <v/>
      </c>
      <c r="B35" s="5"/>
      <c r="C35" s="5"/>
      <c r="D35" s="5" t="str">
        <f t="shared" si="3"/>
        <v/>
      </c>
      <c r="E35" s="16"/>
      <c r="F35" s="2" t="str">
        <f t="shared" si="0"/>
        <v/>
      </c>
      <c r="G35" s="12"/>
      <c r="H35" s="12"/>
      <c r="I35" s="19" t="str">
        <f t="shared" si="1"/>
        <v/>
      </c>
      <c r="J35" s="18" t="str">
        <f t="array" ref="J35">IFERROR(INDEX($A$3:$A$42, MATCH(0, COUNTIF($J$2:J34, $A$3:$A$42&amp;"") + IF($A$3:$A$42="",1,0), 0)), "")</f>
        <v/>
      </c>
      <c r="K35" s="1" t="str">
        <f>IF($J35="","",ConcatIf($A$3:$A$42,$J35,$G$3:$G$42," ; "))</f>
        <v/>
      </c>
    </row>
    <row r="36" spans="1:11" x14ac:dyDescent="0.25">
      <c r="A36" s="1" t="str">
        <f t="shared" si="2"/>
        <v/>
      </c>
      <c r="B36" s="5"/>
      <c r="C36" s="5"/>
      <c r="D36" s="5" t="str">
        <f t="shared" si="3"/>
        <v/>
      </c>
      <c r="E36" s="16"/>
      <c r="F36" s="2" t="str">
        <f t="shared" si="0"/>
        <v/>
      </c>
      <c r="G36" s="12"/>
      <c r="H36" s="12"/>
      <c r="I36" s="19" t="str">
        <f t="shared" si="1"/>
        <v/>
      </c>
      <c r="J36" s="18" t="str">
        <f t="array" ref="J36">IFERROR(INDEX($A$3:$A$42, MATCH(0, COUNTIF($J$2:J35, $A$3:$A$42&amp;"") + IF($A$3:$A$42="",1,0), 0)), "")</f>
        <v/>
      </c>
      <c r="K36" s="1" t="str">
        <f>IF($J36="","",ConcatIf($A$3:$A$42,$J36,$G$3:$G$42," ; "))</f>
        <v/>
      </c>
    </row>
    <row r="37" spans="1:11" x14ac:dyDescent="0.25">
      <c r="A37" s="1" t="str">
        <f t="shared" si="2"/>
        <v/>
      </c>
      <c r="B37" s="5"/>
      <c r="C37" s="5"/>
      <c r="D37" s="5" t="str">
        <f t="shared" si="3"/>
        <v/>
      </c>
      <c r="E37" s="16"/>
      <c r="F37" s="2" t="str">
        <f t="shared" si="0"/>
        <v/>
      </c>
      <c r="G37" s="12"/>
      <c r="H37" s="12"/>
      <c r="I37" s="19" t="str">
        <f t="shared" si="1"/>
        <v/>
      </c>
      <c r="J37" s="18" t="str">
        <f t="array" ref="J37">IFERROR(INDEX($A$3:$A$42, MATCH(0, COUNTIF($J$2:J36, $A$3:$A$42&amp;"") + IF($A$3:$A$42="",1,0), 0)), "")</f>
        <v/>
      </c>
      <c r="K37" s="1" t="str">
        <f>IF($J37="","",ConcatIf($A$3:$A$42,$J37,$G$3:$G$42," ; "))</f>
        <v/>
      </c>
    </row>
    <row r="38" spans="1:11" x14ac:dyDescent="0.25">
      <c r="A38" s="1" t="str">
        <f t="shared" si="2"/>
        <v/>
      </c>
      <c r="B38" s="5"/>
      <c r="C38" s="5"/>
      <c r="D38" s="5" t="str">
        <f t="shared" si="3"/>
        <v/>
      </c>
      <c r="E38" s="16"/>
      <c r="F38" s="2" t="str">
        <f t="shared" si="0"/>
        <v/>
      </c>
      <c r="G38" s="12"/>
      <c r="H38" s="12"/>
      <c r="I38" s="19" t="str">
        <f t="shared" si="1"/>
        <v/>
      </c>
      <c r="J38" s="18" t="str">
        <f t="array" ref="J38">IFERROR(INDEX($A$3:$A$42, MATCH(0, COUNTIF($J$2:J37, $A$3:$A$42&amp;"") + IF($A$3:$A$42="",1,0), 0)), "")</f>
        <v/>
      </c>
      <c r="K38" s="1" t="str">
        <f>IF($J38="","",ConcatIf($A$3:$A$42,$J38,$G$3:$G$42," ; "))</f>
        <v/>
      </c>
    </row>
    <row r="39" spans="1:11" x14ac:dyDescent="0.25">
      <c r="A39" s="1" t="str">
        <f t="shared" si="2"/>
        <v/>
      </c>
      <c r="B39" s="5"/>
      <c r="C39" s="5"/>
      <c r="D39" s="5" t="str">
        <f t="shared" si="3"/>
        <v/>
      </c>
      <c r="E39" s="16"/>
      <c r="F39" s="2" t="str">
        <f t="shared" si="0"/>
        <v/>
      </c>
      <c r="G39" s="12"/>
      <c r="H39" s="12"/>
      <c r="I39" s="19" t="str">
        <f t="shared" si="1"/>
        <v/>
      </c>
      <c r="J39" s="18" t="str">
        <f t="array" ref="J39">IFERROR(INDEX($A$3:$A$42, MATCH(0, COUNTIF($J$2:J38, $A$3:$A$42&amp;"") + IF($A$3:$A$42="",1,0), 0)), "")</f>
        <v/>
      </c>
      <c r="K39" s="1" t="str">
        <f>IF($J39="","",ConcatIf($A$3:$A$42,$J39,$G$3:$G$42," ; "))</f>
        <v/>
      </c>
    </row>
    <row r="40" spans="1:11" x14ac:dyDescent="0.25">
      <c r="A40" s="1" t="str">
        <f t="shared" si="2"/>
        <v/>
      </c>
      <c r="B40" s="5"/>
      <c r="C40" s="5"/>
      <c r="D40" s="5" t="str">
        <f t="shared" si="3"/>
        <v/>
      </c>
      <c r="E40" s="16"/>
      <c r="F40" s="2" t="str">
        <f t="shared" si="0"/>
        <v/>
      </c>
      <c r="G40" s="12"/>
      <c r="H40" s="12"/>
      <c r="I40" s="19" t="str">
        <f t="shared" si="1"/>
        <v/>
      </c>
      <c r="J40" s="18" t="str">
        <f t="array" ref="J40">IFERROR(INDEX($A$3:$A$42, MATCH(0, COUNTIF($J$2:J39, $A$3:$A$42&amp;"") + IF($A$3:$A$42="",1,0), 0)), "")</f>
        <v/>
      </c>
      <c r="K40" s="1" t="str">
        <f>IF($J40="","",ConcatIf($A$3:$A$42,$J40,$G$3:$G$42," ; "))</f>
        <v/>
      </c>
    </row>
  </sheetData>
  <autoFilter ref="C2:H20" xr:uid="{00000000-0009-0000-0000-000005000000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40"/>
  <sheetViews>
    <sheetView zoomScaleNormal="100" workbookViewId="0">
      <pane ySplit="2" topLeftCell="A3" activePane="bottomLeft" state="frozen"/>
      <selection pane="bottomLeft" sqref="A1:A1048576"/>
    </sheetView>
  </sheetViews>
  <sheetFormatPr defaultRowHeight="15" x14ac:dyDescent="0.25"/>
  <cols>
    <col min="1" max="1" width="11.140625" style="1" hidden="1" customWidth="1"/>
    <col min="2" max="2" width="9.140625" style="1"/>
    <col min="3" max="3" width="9" style="1" customWidth="1"/>
    <col min="4" max="5" width="11.5703125" style="5" customWidth="1"/>
    <col min="6" max="6" width="7.7109375" style="3" customWidth="1"/>
    <col min="7" max="7" width="47" style="12" bestFit="1" customWidth="1"/>
    <col min="8" max="8" width="43.85546875" style="12" customWidth="1"/>
    <col min="9" max="10" width="9.140625" style="1"/>
    <col min="11" max="11" width="35.28515625" style="1" customWidth="1"/>
    <col min="12" max="16384" width="9.140625" style="1"/>
  </cols>
  <sheetData>
    <row r="1" spans="1:12" x14ac:dyDescent="0.25">
      <c r="C1" s="10" t="s">
        <v>43</v>
      </c>
      <c r="E1" s="17">
        <f>SUM($I$2:$I40)</f>
        <v>0</v>
      </c>
      <c r="F1" s="17"/>
      <c r="G1" s="26" t="s">
        <v>44</v>
      </c>
      <c r="H1" s="17">
        <f>SUM('05-09 Thurs'!H1,E1)</f>
        <v>0</v>
      </c>
    </row>
    <row r="2" spans="1:12" s="9" customFormat="1" x14ac:dyDescent="0.25">
      <c r="A2" s="22" t="s">
        <v>47</v>
      </c>
      <c r="B2" s="22" t="s">
        <v>45</v>
      </c>
      <c r="C2" s="22" t="s">
        <v>6</v>
      </c>
      <c r="D2" s="23" t="s">
        <v>0</v>
      </c>
      <c r="E2" s="23" t="s">
        <v>1</v>
      </c>
      <c r="F2" s="23" t="s">
        <v>2</v>
      </c>
      <c r="G2" s="24" t="s">
        <v>3</v>
      </c>
      <c r="H2" s="25" t="s">
        <v>28</v>
      </c>
      <c r="I2" s="22" t="s">
        <v>2</v>
      </c>
      <c r="J2" s="22" t="s">
        <v>47</v>
      </c>
      <c r="K2" s="24" t="s">
        <v>3</v>
      </c>
    </row>
    <row r="3" spans="1:12" x14ac:dyDescent="0.25">
      <c r="A3" s="1" t="str">
        <f>IF(ISBLANK(C3),IF(ISBLANK(B3),"",B3),_xlfn.CONCAT(B3,"-",C3))</f>
        <v/>
      </c>
      <c r="F3" s="2" t="str">
        <f t="shared" ref="F3:F40" si="0">IF(OR(ISBLANK(E3),ISBLANK(D3),ISBLANK(A3)),"",(E3-D3)*24)</f>
        <v/>
      </c>
      <c r="G3" s="1"/>
      <c r="H3" s="1"/>
      <c r="I3" s="19" t="str">
        <f t="shared" ref="I3:I40" si="1">IF($J3="","",MROUND(SUMIF(A:A,"="&amp;J3,F:F),0.25))</f>
        <v/>
      </c>
      <c r="J3" s="18" t="str">
        <f t="array" ref="J3">IFERROR(INDEX($A$3:$A$42, MATCH(0, COUNTIF($J$2:J2, $A$3:$A$42&amp;"") + IF($A$3:$A$42="",1,0), 0)), "")</f>
        <v/>
      </c>
      <c r="K3" s="1" t="str">
        <f>IF($J3="","",ConcatIf($A$3:$A$42,$J3,$G$3:$G$42," ; "))</f>
        <v/>
      </c>
    </row>
    <row r="4" spans="1:12" x14ac:dyDescent="0.25">
      <c r="A4" s="1" t="str">
        <f t="shared" ref="A4:A40" si="2">IF(ISBLANK(C4),IF(ISBLANK(B4),"",B4),_xlfn.CONCAT(B4,"-",C4))</f>
        <v/>
      </c>
      <c r="D4" s="5" t="str">
        <f>IF(ISBLANK(E3),"",E3)</f>
        <v/>
      </c>
      <c r="F4" s="2" t="str">
        <f t="shared" si="0"/>
        <v/>
      </c>
      <c r="G4" s="1"/>
      <c r="H4" s="13"/>
      <c r="I4" s="19" t="str">
        <f t="shared" si="1"/>
        <v/>
      </c>
      <c r="J4" s="18" t="str">
        <f t="array" ref="J4">IFERROR(INDEX($A$3:$A$42, MATCH(0, COUNTIF($J$2:J3, $A$3:$A$42&amp;"") + IF($A$3:$A$42="",1,0), 0)), "")</f>
        <v/>
      </c>
      <c r="K4" s="1" t="str">
        <f>IF($J4="","",ConcatIf($A$3:$A$42,$J4,$G$3:$G$42," ; "))</f>
        <v/>
      </c>
    </row>
    <row r="5" spans="1:12" x14ac:dyDescent="0.25">
      <c r="A5" s="1" t="str">
        <f t="shared" si="2"/>
        <v/>
      </c>
      <c r="D5" s="5" t="str">
        <f t="shared" ref="D5:D40" si="3">IF(ISBLANK(E4),"",E4)</f>
        <v/>
      </c>
      <c r="F5" s="2" t="str">
        <f t="shared" si="0"/>
        <v/>
      </c>
      <c r="G5" s="1"/>
      <c r="H5" s="13"/>
      <c r="I5" s="19" t="str">
        <f t="shared" si="1"/>
        <v/>
      </c>
      <c r="J5" s="18" t="str">
        <f t="array" ref="J5">IFERROR(INDEX($A$3:$A$42, MATCH(0, COUNTIF($J$2:J4, $A$3:$A$42&amp;"") + IF($A$3:$A$42="",1,0), 0)), "")</f>
        <v/>
      </c>
      <c r="K5" s="1" t="str">
        <f>IF($J5="","",ConcatIf($A$3:$A$42,$J5,$G$3:$G$42," ; "))</f>
        <v/>
      </c>
    </row>
    <row r="6" spans="1:12" x14ac:dyDescent="0.25">
      <c r="A6" s="1" t="str">
        <f t="shared" si="2"/>
        <v/>
      </c>
      <c r="D6" s="5" t="str">
        <f t="shared" si="3"/>
        <v/>
      </c>
      <c r="F6" s="2" t="str">
        <f t="shared" si="0"/>
        <v/>
      </c>
      <c r="G6" s="1"/>
      <c r="H6" s="13"/>
      <c r="I6" s="19" t="str">
        <f t="shared" si="1"/>
        <v/>
      </c>
      <c r="J6" s="18" t="str">
        <f t="array" ref="J6">IFERROR(INDEX($A$3:$A$42, MATCH(0, COUNTIF($J$2:J5, $A$3:$A$42&amp;"") + IF($A$3:$A$42="",1,0), 0)), "")</f>
        <v/>
      </c>
      <c r="K6" s="1" t="str">
        <f>IF($J6="","",ConcatIf($A$3:$A$42,$J6,$G$3:$G$42," ; "))</f>
        <v/>
      </c>
    </row>
    <row r="7" spans="1:12" x14ac:dyDescent="0.25">
      <c r="A7" s="1" t="str">
        <f t="shared" si="2"/>
        <v/>
      </c>
      <c r="D7" s="5" t="str">
        <f t="shared" si="3"/>
        <v/>
      </c>
      <c r="F7" s="2" t="str">
        <f t="shared" si="0"/>
        <v/>
      </c>
      <c r="G7" s="1"/>
      <c r="H7" s="13"/>
      <c r="I7" s="19" t="str">
        <f t="shared" si="1"/>
        <v/>
      </c>
      <c r="J7" s="18" t="str">
        <f t="array" ref="J7">IFERROR(INDEX($A$3:$A$42, MATCH(0, COUNTIF($J$2:J6, $A$3:$A$42&amp;"") + IF($A$3:$A$42="",1,0), 0)), "")</f>
        <v/>
      </c>
      <c r="K7" s="1" t="str">
        <f>IF($J7="","",ConcatIf($A$3:$A$42,$J7,$G$3:$G$42," ; "))</f>
        <v/>
      </c>
      <c r="L7" s="7"/>
    </row>
    <row r="8" spans="1:12" x14ac:dyDescent="0.25">
      <c r="A8" s="1" t="str">
        <f t="shared" si="2"/>
        <v/>
      </c>
      <c r="D8" s="5" t="str">
        <f t="shared" si="3"/>
        <v/>
      </c>
      <c r="F8" s="2" t="str">
        <f t="shared" si="0"/>
        <v/>
      </c>
      <c r="G8" s="1"/>
      <c r="H8" s="13"/>
      <c r="I8" s="19" t="str">
        <f t="shared" si="1"/>
        <v/>
      </c>
      <c r="J8" s="18" t="str">
        <f t="array" ref="J8">IFERROR(INDEX($A$3:$A$42, MATCH(0, COUNTIF($J$2:J7, $A$3:$A$42&amp;"") + IF($A$3:$A$42="",1,0), 0)), "")</f>
        <v/>
      </c>
      <c r="K8" s="1" t="str">
        <f>IF($J8="","",ConcatIf($A$3:$A$42,$J8,$G$3:$G$42," ; "))</f>
        <v/>
      </c>
      <c r="L8" s="7"/>
    </row>
    <row r="9" spans="1:12" x14ac:dyDescent="0.25">
      <c r="A9" s="1" t="str">
        <f t="shared" si="2"/>
        <v/>
      </c>
      <c r="D9" s="5" t="str">
        <f t="shared" si="3"/>
        <v/>
      </c>
      <c r="F9" s="2" t="str">
        <f t="shared" si="0"/>
        <v/>
      </c>
      <c r="G9" s="1"/>
      <c r="H9" s="14"/>
      <c r="I9" s="19" t="str">
        <f t="shared" si="1"/>
        <v/>
      </c>
      <c r="J9" s="18" t="str">
        <f t="array" ref="J9">IFERROR(INDEX($A$3:$A$42, MATCH(0, COUNTIF($J$2:J8, $A$3:$A$42&amp;"") + IF($A$3:$A$42="",1,0), 0)), "")</f>
        <v/>
      </c>
      <c r="K9" s="1" t="str">
        <f>IF($J9="","",ConcatIf($A$3:$A$42,$J9,$G$3:$G$42," ; "))</f>
        <v/>
      </c>
      <c r="L9" s="7"/>
    </row>
    <row r="10" spans="1:12" x14ac:dyDescent="0.25">
      <c r="A10" s="1" t="str">
        <f t="shared" si="2"/>
        <v/>
      </c>
      <c r="D10" s="5" t="str">
        <f t="shared" si="3"/>
        <v/>
      </c>
      <c r="F10" s="2" t="str">
        <f t="shared" si="0"/>
        <v/>
      </c>
      <c r="G10" s="1"/>
      <c r="H10" s="13"/>
      <c r="I10" s="19" t="str">
        <f t="shared" si="1"/>
        <v/>
      </c>
      <c r="J10" s="18" t="str">
        <f t="array" ref="J10">IFERROR(INDEX($A$3:$A$42, MATCH(0, COUNTIF($J$2:J9, $A$3:$A$42&amp;"") + IF($A$3:$A$42="",1,0), 0)), "")</f>
        <v/>
      </c>
      <c r="K10" s="1" t="str">
        <f>IF($J10="","",ConcatIf($A$3:$A$42,$J10,$G$3:$G$42," ; "))</f>
        <v/>
      </c>
      <c r="L10" s="7"/>
    </row>
    <row r="11" spans="1:12" x14ac:dyDescent="0.25">
      <c r="A11" s="1" t="str">
        <f t="shared" si="2"/>
        <v/>
      </c>
      <c r="D11" s="5" t="str">
        <f t="shared" si="3"/>
        <v/>
      </c>
      <c r="F11" s="2" t="str">
        <f t="shared" si="0"/>
        <v/>
      </c>
      <c r="H11" s="13"/>
      <c r="I11" s="19" t="str">
        <f t="shared" si="1"/>
        <v/>
      </c>
      <c r="J11" s="18" t="str">
        <f t="array" ref="J11">IFERROR(INDEX($A$3:$A$42, MATCH(0, COUNTIF($J$2:J10, $A$3:$A$42&amp;"") + IF($A$3:$A$42="",1,0), 0)), "")</f>
        <v/>
      </c>
      <c r="K11" s="1" t="str">
        <f>IF($J11="","",ConcatIf($A$3:$A$42,$J11,$G$3:$G$42," ; "))</f>
        <v/>
      </c>
      <c r="L11" s="7"/>
    </row>
    <row r="12" spans="1:12" x14ac:dyDescent="0.25">
      <c r="A12" s="1" t="str">
        <f t="shared" si="2"/>
        <v/>
      </c>
      <c r="D12" s="5" t="str">
        <f t="shared" si="3"/>
        <v/>
      </c>
      <c r="F12" s="2" t="str">
        <f t="shared" si="0"/>
        <v/>
      </c>
      <c r="H12" s="13"/>
      <c r="I12" s="19" t="str">
        <f t="shared" si="1"/>
        <v/>
      </c>
      <c r="J12" s="18" t="str">
        <f t="array" ref="J12">IFERROR(INDEX($A$3:$A$42, MATCH(0, COUNTIF($J$2:J11, $A$3:$A$42&amp;"") + IF($A$3:$A$42="",1,0), 0)), "")</f>
        <v/>
      </c>
      <c r="K12" s="1" t="str">
        <f>IF($J12="","",ConcatIf($A$3:$A$42,$J12,$G$3:$G$42," ; "))</f>
        <v/>
      </c>
      <c r="L12" s="7"/>
    </row>
    <row r="13" spans="1:12" x14ac:dyDescent="0.25">
      <c r="A13" s="1" t="str">
        <f t="shared" si="2"/>
        <v/>
      </c>
      <c r="D13" s="5" t="str">
        <f t="shared" si="3"/>
        <v/>
      </c>
      <c r="F13" s="2" t="str">
        <f t="shared" si="0"/>
        <v/>
      </c>
      <c r="H13" s="13"/>
      <c r="I13" s="19" t="str">
        <f t="shared" si="1"/>
        <v/>
      </c>
      <c r="J13" s="18" t="str">
        <f t="array" ref="J13">IFERROR(INDEX($A$3:$A$42, MATCH(0, COUNTIF($J$2:J12, $A$3:$A$42&amp;"") + IF($A$3:$A$42="",1,0), 0)), "")</f>
        <v/>
      </c>
      <c r="K13" s="1" t="str">
        <f>IF($J13="","",ConcatIf($A$3:$A$42,$J13,$G$3:$G$42," ; "))</f>
        <v/>
      </c>
    </row>
    <row r="14" spans="1:12" ht="14.25" customHeight="1" x14ac:dyDescent="0.25">
      <c r="A14" s="1" t="str">
        <f t="shared" si="2"/>
        <v/>
      </c>
      <c r="D14" s="5" t="str">
        <f t="shared" si="3"/>
        <v/>
      </c>
      <c r="F14" s="2" t="str">
        <f t="shared" si="0"/>
        <v/>
      </c>
      <c r="H14" s="13"/>
      <c r="I14" s="19" t="str">
        <f t="shared" si="1"/>
        <v/>
      </c>
      <c r="J14" s="18" t="str">
        <f t="array" ref="J14">IFERROR(INDEX($A$3:$A$42, MATCH(0, COUNTIF($J$2:J13, $A$3:$A$42&amp;"") + IF($A$3:$A$42="",1,0), 0)), "")</f>
        <v/>
      </c>
      <c r="K14" s="1" t="str">
        <f>IF($J14="","",ConcatIf($A$3:$A$42,$J14,$G$3:$G$42," ; "))</f>
        <v/>
      </c>
    </row>
    <row r="15" spans="1:12" x14ac:dyDescent="0.25">
      <c r="A15" s="1" t="str">
        <f t="shared" si="2"/>
        <v/>
      </c>
      <c r="D15" s="5" t="str">
        <f t="shared" si="3"/>
        <v/>
      </c>
      <c r="F15" s="2" t="str">
        <f t="shared" si="0"/>
        <v/>
      </c>
      <c r="H15" s="13"/>
      <c r="I15" s="19" t="str">
        <f t="shared" si="1"/>
        <v/>
      </c>
      <c r="J15" s="18" t="str">
        <f t="array" ref="J15">IFERROR(INDEX($A$3:$A$42, MATCH(0, COUNTIF($J$2:J14, $A$3:$A$42&amp;"") + IF($A$3:$A$42="",1,0), 0)), "")</f>
        <v/>
      </c>
      <c r="K15" s="1" t="str">
        <f>IF($J15="","",ConcatIf($A$3:$A$42,$J15,$G$3:$G$42," ; "))</f>
        <v/>
      </c>
    </row>
    <row r="16" spans="1:12" x14ac:dyDescent="0.25">
      <c r="A16" s="1" t="str">
        <f t="shared" si="2"/>
        <v/>
      </c>
      <c r="D16" s="5" t="str">
        <f t="shared" si="3"/>
        <v/>
      </c>
      <c r="F16" s="2" t="str">
        <f t="shared" si="0"/>
        <v/>
      </c>
      <c r="H16" s="13"/>
      <c r="I16" s="19" t="str">
        <f t="shared" si="1"/>
        <v/>
      </c>
      <c r="J16" s="18" t="str">
        <f t="array" ref="J16">IFERROR(INDEX($A$3:$A$42, MATCH(0, COUNTIF($J$2:J15, $A$3:$A$42&amp;"") + IF($A$3:$A$42="",1,0), 0)), "")</f>
        <v/>
      </c>
      <c r="K16" s="1" t="str">
        <f>IF($J16="","",ConcatIf($A$3:$A$42,$J16,$G$3:$G$42," ; "))</f>
        <v/>
      </c>
    </row>
    <row r="17" spans="1:11" x14ac:dyDescent="0.25">
      <c r="A17" s="1" t="str">
        <f t="shared" si="2"/>
        <v/>
      </c>
      <c r="D17" s="5" t="str">
        <f t="shared" si="3"/>
        <v/>
      </c>
      <c r="F17" s="2" t="str">
        <f t="shared" si="0"/>
        <v/>
      </c>
      <c r="H17" s="13"/>
      <c r="I17" s="19" t="str">
        <f t="shared" si="1"/>
        <v/>
      </c>
      <c r="J17" s="18" t="str">
        <f t="array" ref="J17">IFERROR(INDEX($A$3:$A$42, MATCH(0, COUNTIF($J$2:J16, $A$3:$A$42&amp;"") + IF($A$3:$A$42="",1,0), 0)), "")</f>
        <v/>
      </c>
      <c r="K17" s="1" t="str">
        <f>IF($J17="","",ConcatIf($A$3:$A$42,$J17,$G$3:$G$42," ; "))</f>
        <v/>
      </c>
    </row>
    <row r="18" spans="1:11" x14ac:dyDescent="0.25">
      <c r="A18" s="1" t="str">
        <f t="shared" si="2"/>
        <v/>
      </c>
      <c r="D18" s="5" t="str">
        <f t="shared" si="3"/>
        <v/>
      </c>
      <c r="F18" s="2" t="str">
        <f t="shared" si="0"/>
        <v/>
      </c>
      <c r="H18" s="13"/>
      <c r="I18" s="19" t="str">
        <f t="shared" si="1"/>
        <v/>
      </c>
      <c r="J18" s="18" t="str">
        <f t="array" ref="J18">IFERROR(INDEX($A$3:$A$42, MATCH(0, COUNTIF($J$2:J17, $A$3:$A$42&amp;"") + IF($A$3:$A$42="",1,0), 0)), "")</f>
        <v/>
      </c>
      <c r="K18" s="1" t="str">
        <f>IF($J18="","",ConcatIf($A$3:$A$42,$J18,$G$3:$G$42," ; "))</f>
        <v/>
      </c>
    </row>
    <row r="19" spans="1:11" x14ac:dyDescent="0.25">
      <c r="A19" s="1" t="str">
        <f t="shared" si="2"/>
        <v/>
      </c>
      <c r="B19" s="12"/>
      <c r="D19" s="5" t="str">
        <f t="shared" si="3"/>
        <v/>
      </c>
      <c r="F19" s="2" t="str">
        <f t="shared" si="0"/>
        <v/>
      </c>
      <c r="H19" s="13"/>
      <c r="I19" s="19" t="str">
        <f t="shared" si="1"/>
        <v/>
      </c>
      <c r="J19" s="18" t="str">
        <f t="array" ref="J19">IFERROR(INDEX($A$3:$A$42, MATCH(0, COUNTIF($J$2:J18, $A$3:$A$42&amp;"") + IF($A$3:$A$42="",1,0), 0)), "")</f>
        <v/>
      </c>
      <c r="K19" s="1" t="str">
        <f>IF($J19="","",ConcatIf($A$3:$A$42,$J19,$G$3:$G$42," ; "))</f>
        <v/>
      </c>
    </row>
    <row r="20" spans="1:11" x14ac:dyDescent="0.25">
      <c r="A20" s="1" t="str">
        <f t="shared" si="2"/>
        <v/>
      </c>
      <c r="D20" s="5" t="str">
        <f t="shared" si="3"/>
        <v/>
      </c>
      <c r="F20" s="2" t="str">
        <f t="shared" si="0"/>
        <v/>
      </c>
      <c r="H20" s="13"/>
      <c r="I20" s="19" t="str">
        <f t="shared" si="1"/>
        <v/>
      </c>
      <c r="J20" s="18" t="str">
        <f t="array" ref="J20">IFERROR(INDEX($A$3:$A$42, MATCH(0, COUNTIF($J$2:J19, $A$3:$A$42&amp;"") + IF($A$3:$A$42="",1,0), 0)), "")</f>
        <v/>
      </c>
      <c r="K20" s="1" t="str">
        <f>IF($J20="","",ConcatIf($A$3:$A$42,$J20,$G$3:$G$42," ; "))</f>
        <v/>
      </c>
    </row>
    <row r="21" spans="1:11" x14ac:dyDescent="0.25">
      <c r="A21" s="1" t="str">
        <f t="shared" si="2"/>
        <v/>
      </c>
      <c r="D21" s="5" t="str">
        <f t="shared" si="3"/>
        <v/>
      </c>
      <c r="F21" s="2" t="str">
        <f t="shared" si="0"/>
        <v/>
      </c>
      <c r="H21" s="13"/>
      <c r="I21" s="19" t="str">
        <f t="shared" si="1"/>
        <v/>
      </c>
      <c r="J21" s="18" t="str">
        <f t="array" ref="J21">IFERROR(INDEX($A$3:$A$42, MATCH(0, COUNTIF($J$2:J20, $A$3:$A$42&amp;"") + IF($A$3:$A$42="",1,0), 0)), "")</f>
        <v/>
      </c>
      <c r="K21" s="1" t="str">
        <f>IF($J21="","",ConcatIf($A$3:$A$42,$J21,$G$3:$G$42," ; "))</f>
        <v/>
      </c>
    </row>
    <row r="22" spans="1:11" x14ac:dyDescent="0.25">
      <c r="A22" s="1" t="str">
        <f t="shared" si="2"/>
        <v/>
      </c>
      <c r="D22" s="5" t="str">
        <f t="shared" si="3"/>
        <v/>
      </c>
      <c r="F22" s="2" t="str">
        <f t="shared" si="0"/>
        <v/>
      </c>
      <c r="H22" s="13"/>
      <c r="I22" s="19" t="str">
        <f t="shared" si="1"/>
        <v/>
      </c>
      <c r="J22" s="18" t="str">
        <f t="array" ref="J22">IFERROR(INDEX($A$3:$A$42, MATCH(0, COUNTIF($J$2:J21, $A$3:$A$42&amp;"") + IF($A$3:$A$42="",1,0), 0)), "")</f>
        <v/>
      </c>
      <c r="K22" s="1" t="str">
        <f>IF($J22="","",ConcatIf($A$3:$A$42,$J22,$G$3:$G$42," ; "))</f>
        <v/>
      </c>
    </row>
    <row r="23" spans="1:11" x14ac:dyDescent="0.25">
      <c r="A23" s="1" t="str">
        <f t="shared" si="2"/>
        <v/>
      </c>
      <c r="D23" s="5" t="str">
        <f t="shared" si="3"/>
        <v/>
      </c>
      <c r="F23" s="2" t="str">
        <f t="shared" si="0"/>
        <v/>
      </c>
      <c r="I23" s="19" t="str">
        <f t="shared" si="1"/>
        <v/>
      </c>
      <c r="J23" s="18" t="str">
        <f t="array" ref="J23">IFERROR(INDEX($A$3:$A$42, MATCH(0, COUNTIF($J$2:J22, $A$3:$A$42&amp;"") + IF($A$3:$A$42="",1,0), 0)), "")</f>
        <v/>
      </c>
      <c r="K23" s="1" t="str">
        <f>IF($J23="","",ConcatIf($A$3:$A$42,$J23,$G$3:$G$42," ; "))</f>
        <v/>
      </c>
    </row>
    <row r="24" spans="1:11" x14ac:dyDescent="0.25">
      <c r="A24" s="1" t="str">
        <f t="shared" si="2"/>
        <v/>
      </c>
      <c r="B24" s="5"/>
      <c r="C24" s="5"/>
      <c r="D24" s="5" t="str">
        <f t="shared" si="3"/>
        <v/>
      </c>
      <c r="E24" s="16"/>
      <c r="F24" s="2" t="str">
        <f t="shared" si="0"/>
        <v/>
      </c>
      <c r="H24" s="1"/>
      <c r="I24" s="19" t="str">
        <f t="shared" si="1"/>
        <v/>
      </c>
      <c r="J24" s="18" t="str">
        <f t="array" ref="J24">IFERROR(INDEX($A$3:$A$42, MATCH(0, COUNTIF($J$2:J23, $A$3:$A$42&amp;"") + IF($A$3:$A$42="",1,0), 0)), "")</f>
        <v/>
      </c>
      <c r="K24" s="1" t="str">
        <f>IF($J24="","",ConcatIf($A$3:$A$42,$J24,$G$3:$G$42," ; "))</f>
        <v/>
      </c>
    </row>
    <row r="25" spans="1:11" x14ac:dyDescent="0.25">
      <c r="A25" s="1" t="str">
        <f t="shared" si="2"/>
        <v/>
      </c>
      <c r="D25" s="5" t="str">
        <f t="shared" si="3"/>
        <v/>
      </c>
      <c r="E25" s="16"/>
      <c r="F25" s="2" t="str">
        <f t="shared" si="0"/>
        <v/>
      </c>
      <c r="I25" s="19" t="str">
        <f t="shared" si="1"/>
        <v/>
      </c>
      <c r="J25" s="18" t="str">
        <f t="array" ref="J25">IFERROR(INDEX($A$3:$A$42, MATCH(0, COUNTIF($J$2:J24, $A$3:$A$42&amp;"") + IF($A$3:$A$42="",1,0), 0)), "")</f>
        <v/>
      </c>
      <c r="K25" s="1" t="str">
        <f>IF($J25="","",ConcatIf($A$3:$A$42,$J25,$G$3:$G$42," ; "))</f>
        <v/>
      </c>
    </row>
    <row r="26" spans="1:11" x14ac:dyDescent="0.25">
      <c r="A26" s="1" t="str">
        <f t="shared" si="2"/>
        <v/>
      </c>
      <c r="D26" s="5" t="str">
        <f t="shared" si="3"/>
        <v/>
      </c>
      <c r="E26" s="16"/>
      <c r="F26" s="2" t="str">
        <f t="shared" si="0"/>
        <v/>
      </c>
      <c r="I26" s="19" t="str">
        <f t="shared" si="1"/>
        <v/>
      </c>
      <c r="J26" s="18" t="str">
        <f t="array" ref="J26">IFERROR(INDEX($A$3:$A$42, MATCH(0, COUNTIF($J$2:J25, $A$3:$A$42&amp;"") + IF($A$3:$A$42="",1,0), 0)), "")</f>
        <v/>
      </c>
      <c r="K26" s="1" t="str">
        <f>IF($J26="","",ConcatIf($A$3:$A$42,$J26,$G$3:$G$42," ; "))</f>
        <v/>
      </c>
    </row>
    <row r="27" spans="1:11" x14ac:dyDescent="0.25">
      <c r="A27" s="1" t="str">
        <f t="shared" si="2"/>
        <v/>
      </c>
      <c r="D27" s="5" t="str">
        <f t="shared" si="3"/>
        <v/>
      </c>
      <c r="E27" s="16"/>
      <c r="F27" s="2" t="str">
        <f t="shared" si="0"/>
        <v/>
      </c>
      <c r="I27" s="19" t="str">
        <f t="shared" si="1"/>
        <v/>
      </c>
      <c r="J27" s="18" t="str">
        <f t="array" ref="J27">IFERROR(INDEX($A$3:$A$42, MATCH(0, COUNTIF($J$2:J26, $A$3:$A$42&amp;"") + IF($A$3:$A$42="",1,0), 0)), "")</f>
        <v/>
      </c>
      <c r="K27" s="1" t="str">
        <f>IF($J27="","",ConcatIf($A$3:$A$42,$J27,$G$3:$G$42," ; "))</f>
        <v/>
      </c>
    </row>
    <row r="28" spans="1:11" x14ac:dyDescent="0.25">
      <c r="A28" s="1" t="str">
        <f t="shared" si="2"/>
        <v/>
      </c>
      <c r="B28" s="5"/>
      <c r="C28" s="5"/>
      <c r="D28" s="5" t="str">
        <f t="shared" si="3"/>
        <v/>
      </c>
      <c r="E28" s="16"/>
      <c r="F28" s="2" t="str">
        <f t="shared" si="0"/>
        <v/>
      </c>
      <c r="I28" s="19" t="str">
        <f t="shared" si="1"/>
        <v/>
      </c>
      <c r="J28" s="18" t="str">
        <f t="array" ref="J28">IFERROR(INDEX($A$3:$A$42, MATCH(0, COUNTIF($J$2:J27, $A$3:$A$42&amp;"") + IF($A$3:$A$42="",1,0), 0)), "")</f>
        <v/>
      </c>
      <c r="K28" s="1" t="str">
        <f>IF($J28="","",ConcatIf($A$3:$A$42,$J28,$G$3:$G$42," ; "))</f>
        <v/>
      </c>
    </row>
    <row r="29" spans="1:11" x14ac:dyDescent="0.25">
      <c r="A29" s="1" t="str">
        <f t="shared" si="2"/>
        <v/>
      </c>
      <c r="D29" s="5" t="str">
        <f t="shared" si="3"/>
        <v/>
      </c>
      <c r="E29" s="16"/>
      <c r="F29" s="2" t="str">
        <f t="shared" si="0"/>
        <v/>
      </c>
      <c r="I29" s="19" t="str">
        <f t="shared" si="1"/>
        <v/>
      </c>
      <c r="J29" s="18" t="str">
        <f t="array" ref="J29">IFERROR(INDEX($A$3:$A$42, MATCH(0, COUNTIF($J$2:J28, $A$3:$A$42&amp;"") + IF($A$3:$A$42="",1,0), 0)), "")</f>
        <v/>
      </c>
      <c r="K29" s="1" t="str">
        <f>IF($J29="","",ConcatIf($A$3:$A$42,$J29,$G$3:$G$42," ; "))</f>
        <v/>
      </c>
    </row>
    <row r="30" spans="1:11" x14ac:dyDescent="0.25">
      <c r="A30" s="1" t="str">
        <f t="shared" si="2"/>
        <v/>
      </c>
      <c r="B30" s="5"/>
      <c r="C30" s="5"/>
      <c r="D30" s="5" t="str">
        <f t="shared" si="3"/>
        <v/>
      </c>
      <c r="E30" s="16"/>
      <c r="F30" s="2" t="str">
        <f t="shared" si="0"/>
        <v/>
      </c>
      <c r="I30" s="19" t="str">
        <f t="shared" si="1"/>
        <v/>
      </c>
      <c r="J30" s="18" t="str">
        <f t="array" ref="J30">IFERROR(INDEX($A$3:$A$42, MATCH(0, COUNTIF($J$2:J29, $A$3:$A$42&amp;"") + IF($A$3:$A$42="",1,0), 0)), "")</f>
        <v/>
      </c>
      <c r="K30" s="1" t="str">
        <f>IF($J30="","",ConcatIf($A$3:$A$42,$J30,$G$3:$G$42," ; "))</f>
        <v/>
      </c>
    </row>
    <row r="31" spans="1:11" x14ac:dyDescent="0.25">
      <c r="A31" s="1" t="str">
        <f t="shared" si="2"/>
        <v/>
      </c>
      <c r="D31" s="5" t="str">
        <f t="shared" si="3"/>
        <v/>
      </c>
      <c r="E31" s="16"/>
      <c r="F31" s="2" t="str">
        <f t="shared" si="0"/>
        <v/>
      </c>
      <c r="I31" s="19" t="str">
        <f t="shared" si="1"/>
        <v/>
      </c>
      <c r="J31" s="18" t="str">
        <f t="array" ref="J31">IFERROR(INDEX($A$3:$A$42, MATCH(0, COUNTIF($J$2:J30, $A$3:$A$42&amp;"") + IF($A$3:$A$42="",1,0), 0)), "")</f>
        <v/>
      </c>
      <c r="K31" s="1" t="str">
        <f>IF($J31="","",ConcatIf($A$3:$A$42,$J31,$G$3:$G$42," ; "))</f>
        <v/>
      </c>
    </row>
    <row r="32" spans="1:11" x14ac:dyDescent="0.25">
      <c r="A32" s="1" t="str">
        <f t="shared" si="2"/>
        <v/>
      </c>
      <c r="B32" s="5"/>
      <c r="C32" s="5"/>
      <c r="D32" s="5" t="str">
        <f t="shared" si="3"/>
        <v/>
      </c>
      <c r="E32" s="16"/>
      <c r="F32" s="2" t="str">
        <f t="shared" si="0"/>
        <v/>
      </c>
      <c r="I32" s="19" t="str">
        <f t="shared" si="1"/>
        <v/>
      </c>
      <c r="J32" s="18" t="str">
        <f t="array" ref="J32">IFERROR(INDEX($A$3:$A$42, MATCH(0, COUNTIF($J$2:J31, $A$3:$A$42&amp;"") + IF($A$3:$A$42="",1,0), 0)), "")</f>
        <v/>
      </c>
      <c r="K32" s="1" t="str">
        <f>IF($J32="","",ConcatIf($A$3:$A$42,$J32,$G$3:$G$42," ; "))</f>
        <v/>
      </c>
    </row>
    <row r="33" spans="1:11" x14ac:dyDescent="0.25">
      <c r="A33" s="1" t="str">
        <f t="shared" si="2"/>
        <v/>
      </c>
      <c r="B33" s="5"/>
      <c r="C33" s="5"/>
      <c r="D33" s="5" t="str">
        <f t="shared" si="3"/>
        <v/>
      </c>
      <c r="E33" s="16"/>
      <c r="F33" s="2" t="str">
        <f t="shared" si="0"/>
        <v/>
      </c>
      <c r="I33" s="19" t="str">
        <f t="shared" si="1"/>
        <v/>
      </c>
      <c r="J33" s="18" t="str">
        <f t="array" ref="J33">IFERROR(INDEX($A$3:$A$42, MATCH(0, COUNTIF($J$2:J32, $A$3:$A$42&amp;"") + IF($A$3:$A$42="",1,0), 0)), "")</f>
        <v/>
      </c>
      <c r="K33" s="1" t="str">
        <f>IF($J33="","",ConcatIf($A$3:$A$42,$J33,$G$3:$G$42," ; "))</f>
        <v/>
      </c>
    </row>
    <row r="34" spans="1:11" x14ac:dyDescent="0.25">
      <c r="A34" s="1" t="str">
        <f t="shared" si="2"/>
        <v/>
      </c>
      <c r="B34" s="5"/>
      <c r="C34" s="5"/>
      <c r="D34" s="5" t="str">
        <f t="shared" si="3"/>
        <v/>
      </c>
      <c r="E34" s="16"/>
      <c r="F34" s="2" t="str">
        <f t="shared" si="0"/>
        <v/>
      </c>
      <c r="I34" s="19" t="str">
        <f t="shared" si="1"/>
        <v/>
      </c>
      <c r="J34" s="18" t="str">
        <f t="array" ref="J34">IFERROR(INDEX($A$3:$A$42, MATCH(0, COUNTIF($J$2:J33, $A$3:$A$42&amp;"") + IF($A$3:$A$42="",1,0), 0)), "")</f>
        <v/>
      </c>
      <c r="K34" s="1" t="str">
        <f>IF($J34="","",ConcatIf($A$3:$A$42,$J34,$G$3:$G$42," ; "))</f>
        <v/>
      </c>
    </row>
    <row r="35" spans="1:11" x14ac:dyDescent="0.25">
      <c r="A35" s="1" t="str">
        <f t="shared" si="2"/>
        <v/>
      </c>
      <c r="B35" s="5"/>
      <c r="C35" s="5"/>
      <c r="D35" s="5" t="str">
        <f t="shared" si="3"/>
        <v/>
      </c>
      <c r="E35" s="16"/>
      <c r="F35" s="2" t="str">
        <f t="shared" si="0"/>
        <v/>
      </c>
      <c r="I35" s="19" t="str">
        <f t="shared" si="1"/>
        <v/>
      </c>
      <c r="J35" s="18" t="str">
        <f t="array" ref="J35">IFERROR(INDEX($A$3:$A$42, MATCH(0, COUNTIF($J$2:J34, $A$3:$A$42&amp;"") + IF($A$3:$A$42="",1,0), 0)), "")</f>
        <v/>
      </c>
      <c r="K35" s="1" t="str">
        <f>IF($J35="","",ConcatIf($A$3:$A$42,$J35,$G$3:$G$42," ; "))</f>
        <v/>
      </c>
    </row>
    <row r="36" spans="1:11" x14ac:dyDescent="0.25">
      <c r="A36" s="1" t="str">
        <f t="shared" si="2"/>
        <v/>
      </c>
      <c r="B36" s="5"/>
      <c r="C36" s="5"/>
      <c r="D36" s="5" t="str">
        <f t="shared" si="3"/>
        <v/>
      </c>
      <c r="E36" s="16"/>
      <c r="F36" s="2" t="str">
        <f t="shared" si="0"/>
        <v/>
      </c>
      <c r="I36" s="19" t="str">
        <f t="shared" si="1"/>
        <v/>
      </c>
      <c r="J36" s="18" t="str">
        <f t="array" ref="J36">IFERROR(INDEX($A$3:$A$42, MATCH(0, COUNTIF($J$2:J35, $A$3:$A$42&amp;"") + IF($A$3:$A$42="",1,0), 0)), "")</f>
        <v/>
      </c>
      <c r="K36" s="1" t="str">
        <f>IF($J36="","",ConcatIf($A$3:$A$42,$J36,$G$3:$G$42," ; "))</f>
        <v/>
      </c>
    </row>
    <row r="37" spans="1:11" x14ac:dyDescent="0.25">
      <c r="A37" s="1" t="str">
        <f t="shared" si="2"/>
        <v/>
      </c>
      <c r="B37" s="5"/>
      <c r="C37" s="5"/>
      <c r="D37" s="5" t="str">
        <f t="shared" si="3"/>
        <v/>
      </c>
      <c r="E37" s="16"/>
      <c r="F37" s="2" t="str">
        <f t="shared" si="0"/>
        <v/>
      </c>
      <c r="I37" s="19" t="str">
        <f t="shared" si="1"/>
        <v/>
      </c>
      <c r="J37" s="18" t="str">
        <f t="array" ref="J37">IFERROR(INDEX($A$3:$A$42, MATCH(0, COUNTIF($J$2:J36, $A$3:$A$42&amp;"") + IF($A$3:$A$42="",1,0), 0)), "")</f>
        <v/>
      </c>
      <c r="K37" s="1" t="str">
        <f>IF($J37="","",ConcatIf($A$3:$A$42,$J37,$G$3:$G$42," ; "))</f>
        <v/>
      </c>
    </row>
    <row r="38" spans="1:11" x14ac:dyDescent="0.25">
      <c r="A38" s="1" t="str">
        <f t="shared" si="2"/>
        <v/>
      </c>
      <c r="B38" s="5"/>
      <c r="C38" s="5"/>
      <c r="D38" s="5" t="str">
        <f t="shared" si="3"/>
        <v/>
      </c>
      <c r="E38" s="16"/>
      <c r="F38" s="2" t="str">
        <f t="shared" si="0"/>
        <v/>
      </c>
      <c r="I38" s="19" t="str">
        <f t="shared" si="1"/>
        <v/>
      </c>
      <c r="J38" s="18" t="str">
        <f t="array" ref="J38">IFERROR(INDEX($A$3:$A$42, MATCH(0, COUNTIF($J$2:J37, $A$3:$A$42&amp;"") + IF($A$3:$A$42="",1,0), 0)), "")</f>
        <v/>
      </c>
      <c r="K38" s="1" t="str">
        <f>IF($J38="","",ConcatIf($A$3:$A$42,$J38,$G$3:$G$42," ; "))</f>
        <v/>
      </c>
    </row>
    <row r="39" spans="1:11" x14ac:dyDescent="0.25">
      <c r="A39" s="1" t="str">
        <f t="shared" si="2"/>
        <v/>
      </c>
      <c r="B39" s="5"/>
      <c r="C39" s="5"/>
      <c r="D39" s="5" t="str">
        <f t="shared" si="3"/>
        <v/>
      </c>
      <c r="E39" s="16"/>
      <c r="F39" s="2" t="str">
        <f t="shared" si="0"/>
        <v/>
      </c>
      <c r="I39" s="19" t="str">
        <f t="shared" si="1"/>
        <v/>
      </c>
      <c r="J39" s="18" t="str">
        <f t="array" ref="J39">IFERROR(INDEX($A$3:$A$42, MATCH(0, COUNTIF($J$2:J38, $A$3:$A$42&amp;"") + IF($A$3:$A$42="",1,0), 0)), "")</f>
        <v/>
      </c>
      <c r="K39" s="1" t="str">
        <f>IF($J39="","",ConcatIf($A$3:$A$42,$J39,$G$3:$G$42," ; "))</f>
        <v/>
      </c>
    </row>
    <row r="40" spans="1:11" x14ac:dyDescent="0.25">
      <c r="A40" s="1" t="str">
        <f t="shared" si="2"/>
        <v/>
      </c>
      <c r="B40" s="5"/>
      <c r="C40" s="5"/>
      <c r="D40" s="5" t="str">
        <f t="shared" si="3"/>
        <v/>
      </c>
      <c r="E40" s="16"/>
      <c r="F40" s="2" t="str">
        <f t="shared" si="0"/>
        <v/>
      </c>
      <c r="I40" s="19" t="str">
        <f t="shared" si="1"/>
        <v/>
      </c>
      <c r="J40" s="18" t="str">
        <f t="array" ref="J40">IFERROR(INDEX($A$3:$A$42, MATCH(0, COUNTIF($J$2:J39, $A$3:$A$42&amp;"") + IF($A$3:$A$42="",1,0), 0)), "")</f>
        <v/>
      </c>
      <c r="K40" s="1" t="str">
        <f>IF($J40="","",ConcatIf($A$3:$A$42,$J40,$G$3:$G$42," ; "))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E2601-27B9-4C02-A479-1EDC357EF840}">
  <sheetPr codeName="Sheet8"/>
  <dimension ref="A1:K251"/>
  <sheetViews>
    <sheetView tabSelected="1" zoomScaleNormal="100" workbookViewId="0">
      <selection activeCell="J23" sqref="J23"/>
    </sheetView>
  </sheetViews>
  <sheetFormatPr defaultRowHeight="15" x14ac:dyDescent="0.25"/>
  <cols>
    <col min="1" max="1" width="30.140625" style="1" bestFit="1" customWidth="1"/>
    <col min="2" max="2" width="15.7109375" style="1" bestFit="1" customWidth="1"/>
    <col min="3" max="3" width="16.7109375" style="1" bestFit="1" customWidth="1"/>
    <col min="4" max="5" width="11.5703125" style="5" customWidth="1"/>
    <col min="6" max="6" width="7.7109375" style="3" customWidth="1"/>
    <col min="7" max="7" width="32.7109375" style="12" customWidth="1"/>
    <col min="8" max="8" width="12.140625" style="1" bestFit="1" customWidth="1"/>
    <col min="9" max="9" width="40.85546875" style="1" bestFit="1" customWidth="1"/>
    <col min="10" max="10" width="35.28515625" style="1" customWidth="1"/>
    <col min="11" max="16384" width="9.140625" style="1"/>
  </cols>
  <sheetData>
    <row r="1" spans="3:8" x14ac:dyDescent="0.25">
      <c r="C1" s="10"/>
      <c r="E1" s="16"/>
      <c r="F1" s="17"/>
      <c r="G1" s="26" t="s">
        <v>44</v>
      </c>
      <c r="H1" s="17">
        <f>SUM('05-10 Fri'!H1,E1)</f>
        <v>0</v>
      </c>
    </row>
    <row r="2" spans="3:8" x14ac:dyDescent="0.25">
      <c r="C2" s="10"/>
      <c r="E2" s="16"/>
      <c r="F2" s="17"/>
      <c r="G2" s="26" t="s">
        <v>45</v>
      </c>
      <c r="H2" s="30" t="s">
        <v>48</v>
      </c>
    </row>
    <row r="3" spans="3:8" x14ac:dyDescent="0.25">
      <c r="C3" s="10"/>
      <c r="E3" s="16"/>
      <c r="F3" s="17"/>
      <c r="G3" s="1" t="str">
        <f t="array" ref="G3">IFERROR(INDEX($B$52:$B$291, MATCH(0, COUNTIF($G$2:G2, $B$52:$B$291&amp;"") + IF($B$52:$B$291="",1,0), 0)), "")</f>
        <v/>
      </c>
      <c r="H3" s="1" t="str">
        <f t="array" ref="H3">IF($G3="","",MROUND(SUMIF(B:B,"="&amp;G3,F:F),0.25))</f>
        <v/>
      </c>
    </row>
    <row r="4" spans="3:8" x14ac:dyDescent="0.25">
      <c r="C4" s="10"/>
      <c r="E4" s="16"/>
      <c r="F4" s="17"/>
      <c r="G4" s="1" t="str">
        <f t="array" ref="G4">IFERROR(INDEX($B$52:$B$291, MATCH(0, COUNTIF($G$2:G3, $B$52:$B$291&amp;"") + IF($B$52:$B$291="",1,0), 0)), "")</f>
        <v/>
      </c>
      <c r="H4" s="1" t="str">
        <f t="array" ref="H4">IF($G4="","",MROUND(SUMIF(B:B,"="&amp;G4,F:F),0.25))</f>
        <v/>
      </c>
    </row>
    <row r="5" spans="3:8" x14ac:dyDescent="0.25">
      <c r="C5" s="10"/>
      <c r="E5" s="16"/>
      <c r="F5" s="17"/>
      <c r="G5" s="1" t="str">
        <f t="array" ref="G5">IFERROR(INDEX($B$52:$B$291, MATCH(0, COUNTIF($G$2:G4, $B$52:$B$291&amp;"") + IF($B$52:$B$291="",1,0), 0)), "")</f>
        <v/>
      </c>
      <c r="H5" s="1" t="str">
        <f t="array" ref="H5">IF($G5="","",MROUND(SUMIF(B:B,"="&amp;G5,F:F),0.25))</f>
        <v/>
      </c>
    </row>
    <row r="6" spans="3:8" x14ac:dyDescent="0.25">
      <c r="C6" s="10"/>
      <c r="E6" s="16"/>
      <c r="F6" s="17"/>
      <c r="G6" s="1" t="str">
        <f t="array" ref="G6">IFERROR(INDEX($B$52:$B$291, MATCH(0, COUNTIF($G$2:G5, $B$52:$B$291&amp;"") + IF($B$52:$B$291="",1,0), 0)), "")</f>
        <v/>
      </c>
      <c r="H6" s="1" t="str">
        <f t="array" ref="H6">IF($G6="","",MROUND(SUMIF(B:B,"="&amp;G6,F:F),0.25))</f>
        <v/>
      </c>
    </row>
    <row r="7" spans="3:8" x14ac:dyDescent="0.25">
      <c r="C7" s="10"/>
      <c r="E7" s="16"/>
      <c r="F7" s="17"/>
      <c r="G7" s="1" t="str">
        <f t="array" ref="G7">IFERROR(INDEX($B$52:$B$291, MATCH(0, COUNTIF($G$2:G6, $B$52:$B$291&amp;"") + IF($B$52:$B$291="",1,0), 0)), "")</f>
        <v/>
      </c>
      <c r="H7" s="1" t="str">
        <f t="array" ref="H7">IF($G7="","",MROUND(SUMIF(B:B,"="&amp;G7,F:F),0.25))</f>
        <v/>
      </c>
    </row>
    <row r="8" spans="3:8" x14ac:dyDescent="0.25">
      <c r="C8" s="10"/>
      <c r="E8" s="16"/>
      <c r="F8" s="17"/>
      <c r="G8" s="1" t="str">
        <f t="array" ref="G8">IFERROR(INDEX($B$52:$B$291, MATCH(0, COUNTIF($G$2:G7, $B$52:$B$291&amp;"") + IF($B$52:$B$291="",1,0), 0)), "")</f>
        <v/>
      </c>
      <c r="H8" s="1" t="str">
        <f t="array" ref="H8">IF($G8="","",MROUND(SUMIF(B:B,"="&amp;G8,F:F),0.25))</f>
        <v/>
      </c>
    </row>
    <row r="9" spans="3:8" x14ac:dyDescent="0.25">
      <c r="C9" s="10"/>
      <c r="E9" s="16"/>
      <c r="F9" s="17"/>
      <c r="G9" s="1" t="str">
        <f t="array" ref="G9">IFERROR(INDEX($B$52:$B$291, MATCH(0, COUNTIF($G$2:G8, $B$52:$B$291&amp;"") + IF($B$52:$B$291="",1,0), 0)), "")</f>
        <v/>
      </c>
      <c r="H9" s="1" t="str">
        <f t="array" ref="H9">IF($G9="","",MROUND(SUMIF(B:B,"="&amp;G9,F:F),0.25))</f>
        <v/>
      </c>
    </row>
    <row r="10" spans="3:8" x14ac:dyDescent="0.25">
      <c r="C10" s="10"/>
      <c r="E10" s="16"/>
      <c r="F10" s="17"/>
      <c r="G10" s="1" t="str">
        <f t="array" ref="G10">IFERROR(INDEX($B$52:$B$291, MATCH(0, COUNTIF($G$2:G9, $B$52:$B$291&amp;"") + IF($B$52:$B$291="",1,0), 0)), "")</f>
        <v/>
      </c>
      <c r="H10" s="1" t="str">
        <f t="array" ref="H10">IF($G10="","",MROUND(SUMIF(B:B,"="&amp;G10,F:F),0.25))</f>
        <v/>
      </c>
    </row>
    <row r="11" spans="3:8" x14ac:dyDescent="0.25">
      <c r="C11" s="10"/>
      <c r="E11" s="16"/>
      <c r="F11" s="17"/>
      <c r="G11" s="1" t="str">
        <f t="array" ref="G11">IFERROR(INDEX($B$52:$B$291, MATCH(0, COUNTIF($G$2:G10, $B$52:$B$291&amp;"") + IF($B$52:$B$291="",1,0), 0)), "")</f>
        <v/>
      </c>
      <c r="H11" s="1" t="str">
        <f t="array" ref="H11">IF($G11="","",MROUND(SUMIF(B:B,"="&amp;G11,F:F),0.25))</f>
        <v/>
      </c>
    </row>
    <row r="12" spans="3:8" x14ac:dyDescent="0.25">
      <c r="C12" s="10"/>
      <c r="E12" s="16"/>
      <c r="F12" s="17"/>
      <c r="G12" s="1" t="str">
        <f t="array" ref="G12">IFERROR(INDEX($B$52:$B$291, MATCH(0, COUNTIF($G$2:G11, $B$52:$B$291&amp;"") + IF($B$52:$B$291="",1,0), 0)), "")</f>
        <v/>
      </c>
      <c r="H12" s="1" t="str">
        <f t="array" ref="H12">IF($G12="","",MROUND(SUMIF(B:B,"="&amp;G12,F:F),0.25))</f>
        <v/>
      </c>
    </row>
    <row r="13" spans="3:8" x14ac:dyDescent="0.25">
      <c r="C13" s="10"/>
      <c r="E13" s="16"/>
      <c r="F13" s="17"/>
      <c r="G13" s="1" t="str">
        <f t="array" ref="G13">IFERROR(INDEX($B$52:$B$291, MATCH(0, COUNTIF($G$2:G12, $B$52:$B$291&amp;"") + IF($B$52:$B$291="",1,0), 0)), "")</f>
        <v/>
      </c>
      <c r="H13" s="1" t="str">
        <f t="array" ref="H13">IF($G13="","",MROUND(SUMIF(B:B,"="&amp;G13,F:F),0.25))</f>
        <v/>
      </c>
    </row>
    <row r="14" spans="3:8" x14ac:dyDescent="0.25">
      <c r="C14" s="10"/>
      <c r="E14" s="16"/>
      <c r="F14" s="17"/>
      <c r="G14" s="1" t="str">
        <f t="array" ref="G14">IFERROR(INDEX($B$52:$B$291, MATCH(0, COUNTIF($G$2:G13, $B$52:$B$291&amp;"") + IF($B$52:$B$291="",1,0), 0)), "")</f>
        <v/>
      </c>
      <c r="H14" s="1" t="str">
        <f t="array" ref="H14">IF($G14="","",MROUND(SUMIF(B:B,"="&amp;G14,F:F),0.25))</f>
        <v/>
      </c>
    </row>
    <row r="15" spans="3:8" x14ac:dyDescent="0.25">
      <c r="C15" s="10"/>
      <c r="E15" s="16"/>
      <c r="F15" s="17"/>
      <c r="G15" s="1" t="str">
        <f t="array" ref="G15">IFERROR(INDEX($B$52:$B$291, MATCH(0, COUNTIF($G$2:G14, $B$52:$B$291&amp;"") + IF($B$52:$B$291="",1,0), 0)), "")</f>
        <v/>
      </c>
      <c r="H15" s="1" t="str">
        <f t="array" ref="H15">IF($G15="","",MROUND(SUMIF(B:B,"="&amp;G15,F:F),0.25))</f>
        <v/>
      </c>
    </row>
    <row r="16" spans="3:8" x14ac:dyDescent="0.25">
      <c r="C16" s="10"/>
      <c r="E16" s="16"/>
      <c r="F16" s="17"/>
      <c r="G16" s="1" t="str">
        <f t="array" ref="G16">IFERROR(INDEX($B$52:$B$291, MATCH(0, COUNTIF($G$2:G15, $B$52:$B$291&amp;"") + IF($B$52:$B$291="",1,0), 0)), "")</f>
        <v/>
      </c>
      <c r="H16" s="1" t="str">
        <f t="array" ref="H16">IF($G16="","",MROUND(SUMIF(B:B,"="&amp;G16,F:F),0.25))</f>
        <v/>
      </c>
    </row>
    <row r="17" spans="3:10" x14ac:dyDescent="0.25">
      <c r="C17" s="10"/>
      <c r="E17" s="16"/>
      <c r="F17" s="17"/>
      <c r="G17" s="1" t="str">
        <f t="array" ref="G17">IFERROR(INDEX($B$52:$B$291, MATCH(0, COUNTIF($G$2:G16, $B$52:$B$291&amp;"") + IF($B$52:$B$291="",1,0), 0)), "")</f>
        <v/>
      </c>
      <c r="H17" s="1" t="str">
        <f t="array" ref="H17">IF($G17="","",MROUND(SUMIF(B:B,"="&amp;G17,F:F),0.25))</f>
        <v/>
      </c>
    </row>
    <row r="18" spans="3:10" x14ac:dyDescent="0.25">
      <c r="C18" s="10"/>
      <c r="E18" s="16"/>
      <c r="F18" s="17"/>
      <c r="G18" s="1" t="str">
        <f t="array" ref="G18">IFERROR(INDEX($B$52:$B$291, MATCH(0, COUNTIF($G$2:G17, $B$52:$B$291&amp;"") + IF($B$52:$B$291="",1,0), 0)), "")</f>
        <v/>
      </c>
      <c r="H18" s="1" t="str">
        <f t="array" ref="H18">IF($G18="","",MROUND(SUMIF(B:B,"="&amp;G18,F:F),0.25))</f>
        <v/>
      </c>
    </row>
    <row r="19" spans="3:10" x14ac:dyDescent="0.25">
      <c r="C19" s="10"/>
      <c r="E19" s="16"/>
      <c r="F19" s="17"/>
      <c r="G19" s="1" t="str">
        <f t="array" ref="G19">IFERROR(INDEX($B$52:$B$291, MATCH(0, COUNTIF($G$2:G18, $B$52:$B$291&amp;"") + IF($B$52:$B$291="",1,0), 0)), "")</f>
        <v/>
      </c>
      <c r="H19" s="1" t="str">
        <f t="array" ref="H19">IF($G19="","",MROUND(SUMIF(B:B,"="&amp;G19,F:F),0.25))</f>
        <v/>
      </c>
    </row>
    <row r="20" spans="3:10" x14ac:dyDescent="0.25">
      <c r="C20" s="10"/>
      <c r="E20" s="16"/>
      <c r="F20" s="17"/>
      <c r="G20" s="1" t="str">
        <f t="array" ref="G20">IFERROR(INDEX($B$52:$B$291, MATCH(0, COUNTIF($G$2:G19, $B$52:$B$291&amp;"") + IF($B$52:$B$291="",1,0), 0)), "")</f>
        <v/>
      </c>
      <c r="H20" s="1" t="str">
        <f t="array" ref="H20">IF($G20="","",MROUND(SUMIF(B:B,"="&amp;G20,F:F),0.25))</f>
        <v/>
      </c>
    </row>
    <row r="21" spans="3:10" x14ac:dyDescent="0.25">
      <c r="C21" s="10"/>
      <c r="E21" s="16"/>
      <c r="F21" s="17"/>
      <c r="G21" s="1"/>
      <c r="H21" s="4" t="s">
        <v>50</v>
      </c>
      <c r="I21" s="4" t="s">
        <v>49</v>
      </c>
      <c r="J21" s="4" t="s">
        <v>3</v>
      </c>
    </row>
    <row r="22" spans="3:10" x14ac:dyDescent="0.25">
      <c r="C22" s="10"/>
      <c r="E22" s="16"/>
      <c r="F22" s="17"/>
      <c r="G22" s="1"/>
      <c r="H22" s="1" t="str">
        <f t="array" ref="H22">IF($I22="","",MROUND(SUMIF(A:A,"="&amp;I22,F:F),0.25))</f>
        <v/>
      </c>
      <c r="I22" s="1" t="str">
        <f t="array" ref="I22">IFERROR(INDEX($A$52:$A$291, MATCH(0, COUNTIF($H$21:H21, $A$52:$A$291&amp;"") + IF($A$52:$A$291="",1,0), 0)), "")</f>
        <v/>
      </c>
      <c r="J22" s="1" t="str">
        <f>IF($I22="","",ConcatIf($A$52:$A$291,$I22,$G$52:$G$291," ; "))</f>
        <v/>
      </c>
    </row>
    <row r="23" spans="3:10" x14ac:dyDescent="0.25">
      <c r="C23" s="10"/>
      <c r="E23" s="16"/>
      <c r="F23" s="17"/>
      <c r="G23" s="1"/>
      <c r="H23" s="1" t="str">
        <f t="array" ref="H23">IF($I23="","",MROUND(SUMIF(A:A,"="&amp;I23,F:F),0.25))</f>
        <v/>
      </c>
      <c r="I23" s="1" t="str">
        <f t="array" ref="I23">IFERROR(INDEX($A$52:$A$291, MATCH(0, COUNTIF($H$21:I22, $A$52:$A$291&amp;"") + IF($A$52:$A$291="",1,0), 0)), "")</f>
        <v/>
      </c>
      <c r="J23" s="1" t="str">
        <f>IF($I23="","",ConcatIf($A$52:$A$291,$I23,$G$52:$G$291," ; "))</f>
        <v/>
      </c>
    </row>
    <row r="24" spans="3:10" x14ac:dyDescent="0.25">
      <c r="C24" s="10"/>
      <c r="E24" s="16"/>
      <c r="F24" s="17"/>
      <c r="G24" s="1"/>
      <c r="H24" s="1" t="str">
        <f t="array" ref="H24">IF($I24="","",MROUND(SUMIF(A:A,"="&amp;I24,F:F),0.25))</f>
        <v/>
      </c>
      <c r="I24" s="1" t="str">
        <f t="array" ref="I24">IFERROR(INDEX($A$52:$A$291, MATCH(0, COUNTIF($H$21:I23, $A$52:$A$291&amp;"") + IF($A$52:$A$291="",1,0), 0)), "")</f>
        <v/>
      </c>
      <c r="J24" s="1" t="str">
        <f>IF($I24="","",ConcatIf($A$52:$A$291,$I24,$G$52:$G$291," ; "))</f>
        <v/>
      </c>
    </row>
    <row r="25" spans="3:10" x14ac:dyDescent="0.25">
      <c r="C25" s="10"/>
      <c r="E25" s="16"/>
      <c r="F25" s="17"/>
      <c r="G25" s="1"/>
      <c r="H25" s="1" t="str">
        <f t="array" ref="H25">IF($I25="","",MROUND(SUMIF(A:A,"="&amp;I25,F:F),0.25))</f>
        <v/>
      </c>
      <c r="I25" s="1" t="str">
        <f t="array" ref="I25">IFERROR(INDEX($A$52:$A$291, MATCH(0, COUNTIF($H$21:I24, $A$52:$A$291&amp;"") + IF($A$52:$A$291="",1,0), 0)), "")</f>
        <v/>
      </c>
      <c r="J25" s="1" t="str">
        <f>IF($I25="","",ConcatIf($A$52:$A$291,$I25,$G$52:$G$291," ; "))</f>
        <v/>
      </c>
    </row>
    <row r="26" spans="3:10" x14ac:dyDescent="0.25">
      <c r="C26" s="10"/>
      <c r="E26" s="16"/>
      <c r="F26" s="17"/>
      <c r="G26" s="1"/>
      <c r="H26" s="1" t="str">
        <f t="array" ref="H26">IF($I26="","",MROUND(SUMIF(A:A,"="&amp;I26,F:F),0.25))</f>
        <v/>
      </c>
      <c r="I26" s="1" t="str">
        <f t="array" ref="I26">IFERROR(INDEX($A$52:$A$291, MATCH(0, COUNTIF($H$21:I25, $A$52:$A$291&amp;"") + IF($A$52:$A$291="",1,0), 0)), "")</f>
        <v/>
      </c>
      <c r="J26" s="1" t="str">
        <f>IF($I26="","",ConcatIf($A$52:$A$291,$I26,$G$52:$G$291," ; "))</f>
        <v/>
      </c>
    </row>
    <row r="27" spans="3:10" x14ac:dyDescent="0.25">
      <c r="C27" s="10"/>
      <c r="E27" s="16"/>
      <c r="F27" s="17"/>
      <c r="G27" s="1"/>
      <c r="H27" s="1" t="str">
        <f t="array" ref="H27">IF($I27="","",MROUND(SUMIF(A:A,"="&amp;I27,F:F),0.25))</f>
        <v/>
      </c>
      <c r="I27" s="1" t="str">
        <f t="array" ref="I27">IFERROR(INDEX($A$52:$A$291, MATCH(0, COUNTIF($H$21:I26, $A$52:$A$291&amp;"") + IF($A$52:$A$291="",1,0), 0)), "")</f>
        <v/>
      </c>
      <c r="J27" s="1" t="str">
        <f>IF($I27="","",ConcatIf($A$52:$A$291,$I27,$G$52:$G$291," ; "))</f>
        <v/>
      </c>
    </row>
    <row r="28" spans="3:10" x14ac:dyDescent="0.25">
      <c r="C28" s="10"/>
      <c r="E28" s="16"/>
      <c r="F28" s="17"/>
      <c r="G28" s="1"/>
      <c r="H28" s="1" t="str">
        <f t="array" ref="H28">IF($I28="","",MROUND(SUMIF(A:A,"="&amp;I28,F:F),0.25))</f>
        <v/>
      </c>
      <c r="I28" s="1" t="str">
        <f t="array" ref="I28">IFERROR(INDEX($A$52:$A$291, MATCH(0, COUNTIF($H$21:I27, $A$52:$A$291&amp;"") + IF($A$52:$A$291="",1,0), 0)), "")</f>
        <v/>
      </c>
      <c r="J28" s="1" t="str">
        <f>IF($I28="","",ConcatIf($A$52:$A$291,$I28,$G$52:$G$291," ; "))</f>
        <v/>
      </c>
    </row>
    <row r="29" spans="3:10" x14ac:dyDescent="0.25">
      <c r="C29" s="10"/>
      <c r="E29" s="16"/>
      <c r="F29" s="17"/>
      <c r="G29" s="1"/>
      <c r="H29" s="1" t="str">
        <f t="array" ref="H29">IF($I29="","",MROUND(SUMIF(A:A,"="&amp;I29,F:F),0.25))</f>
        <v/>
      </c>
      <c r="I29" s="1" t="str">
        <f t="array" ref="I29">IFERROR(INDEX($A$52:$A$291, MATCH(0, COUNTIF($H$21:I28, $A$52:$A$291&amp;"") + IF($A$52:$A$291="",1,0), 0)), "")</f>
        <v/>
      </c>
      <c r="J29" s="1" t="str">
        <f>IF($I29="","",ConcatIf($A$52:$A$291,$I29,$G$52:$G$291," ; "))</f>
        <v/>
      </c>
    </row>
    <row r="30" spans="3:10" x14ac:dyDescent="0.25">
      <c r="C30" s="10"/>
      <c r="E30" s="16"/>
      <c r="F30" s="17"/>
      <c r="G30" s="1"/>
      <c r="H30" s="1" t="str">
        <f t="array" ref="H30">IF($I30="","",MROUND(SUMIF(A:A,"="&amp;I30,F:F),0.25))</f>
        <v/>
      </c>
      <c r="I30" s="1" t="str">
        <f t="array" ref="I30">IFERROR(INDEX($A$52:$A$291, MATCH(0, COUNTIF($H$21:I29, $A$52:$A$291&amp;"") + IF($A$52:$A$291="",1,0), 0)), "")</f>
        <v/>
      </c>
      <c r="J30" s="1" t="str">
        <f>IF($I30="","",ConcatIf($A$52:$A$291,$I30,$G$52:$G$291," ; "))</f>
        <v/>
      </c>
    </row>
    <row r="31" spans="3:10" x14ac:dyDescent="0.25">
      <c r="C31" s="10"/>
      <c r="E31" s="16"/>
      <c r="F31" s="17"/>
      <c r="G31" s="1"/>
      <c r="H31" s="1" t="str">
        <f t="array" ref="H31">IF($I31="","",MROUND(SUMIF(A:A,"="&amp;I31,F:F),0.25))</f>
        <v/>
      </c>
      <c r="I31" s="1" t="str">
        <f t="array" ref="I31">IFERROR(INDEX($A$52:$A$291, MATCH(0, COUNTIF($H$21:I30, $A$52:$A$291&amp;"") + IF($A$52:$A$291="",1,0), 0)), "")</f>
        <v/>
      </c>
      <c r="J31" s="1" t="str">
        <f>IF($I31="","",ConcatIf($A$52:$A$291,$I31,$G$52:$G$291," ; "))</f>
        <v/>
      </c>
    </row>
    <row r="32" spans="3:10" x14ac:dyDescent="0.25">
      <c r="C32" s="10"/>
      <c r="E32" s="16"/>
      <c r="F32" s="17"/>
      <c r="G32" s="1"/>
      <c r="H32" s="1" t="str">
        <f t="array" ref="H32">IF($I32="","",MROUND(SUMIF(A:A,"="&amp;I32,F:F),0.25))</f>
        <v/>
      </c>
      <c r="I32" s="1" t="str">
        <f t="array" ref="I32">IFERROR(INDEX($A$52:$A$291, MATCH(0, COUNTIF($H$21:I31, $A$52:$A$291&amp;"") + IF($A$52:$A$291="",1,0), 0)), "")</f>
        <v/>
      </c>
      <c r="J32" s="1" t="str">
        <f>IF($I32="","",ConcatIf($A$52:$A$291,$I32,$G$52:$G$291," ; "))</f>
        <v/>
      </c>
    </row>
    <row r="33" spans="3:10" x14ac:dyDescent="0.25">
      <c r="C33" s="10"/>
      <c r="E33" s="16"/>
      <c r="F33" s="17"/>
      <c r="G33" s="1"/>
      <c r="H33" s="1" t="str">
        <f t="array" ref="H33">IF($I33="","",MROUND(SUMIF(A:A,"="&amp;I33,F:F),0.25))</f>
        <v/>
      </c>
      <c r="I33" s="1" t="str">
        <f t="array" ref="I33">IFERROR(INDEX($A$52:$A$291, MATCH(0, COUNTIF($H$21:I32, $A$52:$A$291&amp;"") + IF($A$52:$A$291="",1,0), 0)), "")</f>
        <v/>
      </c>
      <c r="J33" s="1" t="str">
        <f>IF($I33="","",ConcatIf($A$52:$A$291,$I33,$G$52:$G$291," ; "))</f>
        <v/>
      </c>
    </row>
    <row r="34" spans="3:10" x14ac:dyDescent="0.25">
      <c r="C34" s="10"/>
      <c r="E34" s="16"/>
      <c r="F34" s="17"/>
      <c r="G34" s="1"/>
      <c r="H34" s="1" t="str">
        <f t="array" ref="H34">IF($I34="","",MROUND(SUMIF(A:A,"="&amp;I34,F:F),0.25))</f>
        <v/>
      </c>
      <c r="I34" s="1" t="str">
        <f t="array" ref="I34">IFERROR(INDEX($A$52:$A$291, MATCH(0, COUNTIF($H$21:I33, $A$52:$A$291&amp;"") + IF($A$52:$A$291="",1,0), 0)), "")</f>
        <v/>
      </c>
      <c r="J34" s="1" t="str">
        <f>IF($I34="","",ConcatIf($A$52:$A$291,$I34,$G$52:$G$291," ; "))</f>
        <v/>
      </c>
    </row>
    <row r="35" spans="3:10" x14ac:dyDescent="0.25">
      <c r="C35" s="10"/>
      <c r="E35" s="16"/>
      <c r="F35" s="17"/>
      <c r="G35" s="1"/>
      <c r="H35" s="1" t="str">
        <f t="array" ref="H35">IF($I35="","",MROUND(SUMIF(A:A,"="&amp;I35,F:F),0.25))</f>
        <v/>
      </c>
      <c r="I35" s="1" t="str">
        <f t="array" ref="I35">IFERROR(INDEX($A$52:$A$291, MATCH(0, COUNTIF($H$21:I34, $A$52:$A$291&amp;"") + IF($A$52:$A$291="",1,0), 0)), "")</f>
        <v/>
      </c>
      <c r="J35" s="1" t="str">
        <f>IF($I35="","",ConcatIf($A$52:$A$291,$I35,$G$52:$G$291," ; "))</f>
        <v/>
      </c>
    </row>
    <row r="36" spans="3:10" x14ac:dyDescent="0.25">
      <c r="C36" s="10"/>
      <c r="E36" s="16"/>
      <c r="F36" s="17"/>
      <c r="G36" s="1"/>
      <c r="H36" s="1" t="str">
        <f t="array" ref="H36">IF($I36="","",MROUND(SUMIF(A:A,"="&amp;I36,F:F),0.25))</f>
        <v/>
      </c>
      <c r="I36" s="1" t="str">
        <f t="array" ref="I36">IFERROR(INDEX($A$52:$A$291, MATCH(0, COUNTIF($H$21:I35, $A$52:$A$291&amp;"") + IF($A$52:$A$291="",1,0), 0)), "")</f>
        <v/>
      </c>
      <c r="J36" s="1" t="str">
        <f>IF($I36="","",ConcatIf($A$52:$A$291,$I36,$G$52:$G$291," ; "))</f>
        <v/>
      </c>
    </row>
    <row r="37" spans="3:10" x14ac:dyDescent="0.25">
      <c r="C37" s="10"/>
      <c r="E37" s="16"/>
      <c r="F37" s="17"/>
      <c r="G37" s="1"/>
      <c r="H37" s="1" t="str">
        <f t="array" ref="H37">IF($I37="","",MROUND(SUMIF(A:A,"="&amp;I37,F:F),0.25))</f>
        <v/>
      </c>
      <c r="I37" s="1" t="str">
        <f t="array" ref="I37">IFERROR(INDEX($A$52:$A$291, MATCH(0, COUNTIF($H$21:I36, $A$52:$A$291&amp;"") + IF($A$52:$A$291="",1,0), 0)), "")</f>
        <v/>
      </c>
      <c r="J37" s="1" t="str">
        <f>IF($I37="","",ConcatIf($A$52:$A$291,$I37,$G$52:$G$291," ; "))</f>
        <v/>
      </c>
    </row>
    <row r="38" spans="3:10" x14ac:dyDescent="0.25">
      <c r="C38" s="10"/>
      <c r="E38" s="16"/>
      <c r="F38" s="17"/>
      <c r="G38" s="1"/>
      <c r="H38" s="1" t="str">
        <f t="array" ref="H38">IF($I38="","",MROUND(SUMIF(A:A,"="&amp;I38,F:F),0.25))</f>
        <v/>
      </c>
      <c r="I38" s="1" t="str">
        <f t="array" ref="I38">IFERROR(INDEX($A$52:$A$291, MATCH(0, COUNTIF($H$21:I37, $A$52:$A$291&amp;"") + IF($A$52:$A$291="",1,0), 0)), "")</f>
        <v/>
      </c>
      <c r="J38" s="1" t="str">
        <f>IF($I38="","",ConcatIf($A$52:$A$291,$I38,$G$52:$G$291," ; "))</f>
        <v/>
      </c>
    </row>
    <row r="39" spans="3:10" x14ac:dyDescent="0.25">
      <c r="C39" s="10"/>
      <c r="E39" s="16"/>
      <c r="F39" s="17"/>
      <c r="G39" s="1"/>
      <c r="H39" s="1" t="str">
        <f t="array" ref="H39">IF($I39="","",MROUND(SUMIF(A:A,"="&amp;I39,F:F),0.25))</f>
        <v/>
      </c>
      <c r="I39" s="1" t="str">
        <f t="array" ref="I39">IFERROR(INDEX($A$52:$A$291, MATCH(0, COUNTIF($H$21:I38, $A$52:$A$291&amp;"") + IF($A$52:$A$291="",1,0), 0)), "")</f>
        <v/>
      </c>
      <c r="J39" s="1" t="str">
        <f>IF($I39="","",ConcatIf($A$52:$A$291,$I39,$G$52:$G$291," ; "))</f>
        <v/>
      </c>
    </row>
    <row r="40" spans="3:10" x14ac:dyDescent="0.25">
      <c r="C40" s="10"/>
      <c r="E40" s="16"/>
      <c r="F40" s="17"/>
      <c r="G40" s="1"/>
      <c r="H40" s="1" t="str">
        <f t="array" ref="H40">IF($I40="","",MROUND(SUMIF(A:A,"="&amp;I40,F:F),0.25))</f>
        <v/>
      </c>
      <c r="I40" s="1" t="str">
        <f t="array" ref="I40">IFERROR(INDEX($A$52:$A$291, MATCH(0, COUNTIF($H$21:I39, $A$52:$A$291&amp;"") + IF($A$52:$A$291="",1,0), 0)), "")</f>
        <v/>
      </c>
      <c r="J40" s="1" t="str">
        <f>IF($I40="","",ConcatIf($A$52:$A$291,$I40,$G$52:$G$291," ; "))</f>
        <v/>
      </c>
    </row>
    <row r="41" spans="3:10" x14ac:dyDescent="0.25">
      <c r="C41" s="10"/>
      <c r="E41" s="16"/>
      <c r="F41" s="17"/>
      <c r="G41" s="1"/>
      <c r="H41" s="1" t="str">
        <f t="array" ref="H41">IF($I41="","",MROUND(SUMIF(A:A,"="&amp;I41,F:F),0.25))</f>
        <v/>
      </c>
      <c r="I41" s="1" t="str">
        <f t="array" ref="I41">IFERROR(INDEX($A$52:$A$291, MATCH(0, COUNTIF($H$21:I40, $A$52:$A$291&amp;"") + IF($A$52:$A$291="",1,0), 0)), "")</f>
        <v/>
      </c>
      <c r="J41" s="1" t="str">
        <f>IF($I41="","",ConcatIf($A$52:$A$291,$I41,$G$52:$G$291," ; "))</f>
        <v/>
      </c>
    </row>
    <row r="42" spans="3:10" x14ac:dyDescent="0.25">
      <c r="C42" s="10"/>
      <c r="E42" s="16"/>
      <c r="F42" s="17"/>
      <c r="G42" s="1"/>
      <c r="H42" s="1" t="str">
        <f t="array" ref="H42">IF($I42="","",MROUND(SUMIF(A:A,"="&amp;I42,F:F),0.25))</f>
        <v/>
      </c>
      <c r="I42" s="1" t="str">
        <f t="array" ref="I42">IFERROR(INDEX($A$52:$A$291, MATCH(0, COUNTIF($H$21:I41, $A$52:$A$291&amp;"") + IF($A$52:$A$291="",1,0), 0)), "")</f>
        <v/>
      </c>
      <c r="J42" s="1" t="str">
        <f>IF($I42="","",ConcatIf($A$52:$A$291,$I42,$G$52:$G$291," ; "))</f>
        <v/>
      </c>
    </row>
    <row r="43" spans="3:10" x14ac:dyDescent="0.25">
      <c r="C43" s="10"/>
      <c r="E43" s="16"/>
      <c r="F43" s="17"/>
      <c r="G43" s="1"/>
      <c r="H43" s="1" t="str">
        <f t="array" ref="H43">IF($I43="","",MROUND(SUMIF(A:A,"="&amp;I43,F:F),0.25))</f>
        <v/>
      </c>
      <c r="I43" s="1" t="str">
        <f t="array" ref="I43">IFERROR(INDEX($A$52:$A$291, MATCH(0, COUNTIF($H$21:I42, $A$52:$A$291&amp;"") + IF($A$52:$A$291="",1,0), 0)), "")</f>
        <v/>
      </c>
      <c r="J43" s="1" t="str">
        <f>IF($I43="","",ConcatIf($A$52:$A$291,$I43,$G$52:$G$291," ; "))</f>
        <v/>
      </c>
    </row>
    <row r="44" spans="3:10" x14ac:dyDescent="0.25">
      <c r="C44" s="10"/>
      <c r="E44" s="16"/>
      <c r="F44" s="17"/>
      <c r="G44" s="1"/>
      <c r="H44" s="1" t="str">
        <f t="array" ref="H44">IF($I44="","",MROUND(SUMIF(A:A,"="&amp;I44,F:F),0.25))</f>
        <v/>
      </c>
      <c r="I44" s="1" t="str">
        <f t="array" ref="I44">IFERROR(INDEX($A$52:$A$291, MATCH(0, COUNTIF($H$21:I43, $A$52:$A$291&amp;"") + IF($A$52:$A$291="",1,0), 0)), "")</f>
        <v/>
      </c>
      <c r="J44" s="1" t="str">
        <f>IF($I44="","",ConcatIf($A$52:$A$291,$I44,$G$52:$G$291," ; "))</f>
        <v/>
      </c>
    </row>
    <row r="45" spans="3:10" x14ac:dyDescent="0.25">
      <c r="C45" s="10"/>
      <c r="E45" s="16"/>
      <c r="F45" s="17"/>
      <c r="G45" s="1"/>
      <c r="H45" s="1" t="str">
        <f t="array" ref="H45">IF($I45="","",MROUND(SUMIF(A:A,"="&amp;I45,F:F),0.25))</f>
        <v/>
      </c>
      <c r="I45" s="1" t="str">
        <f t="array" ref="I45">IFERROR(INDEX($A$52:$A$291, MATCH(0, COUNTIF($H$21:I44, $A$52:$A$291&amp;"") + IF($A$52:$A$291="",1,0), 0)), "")</f>
        <v/>
      </c>
      <c r="J45" s="1" t="str">
        <f>IF($I45="","",ConcatIf($A$52:$A$291,$I45,$G$52:$G$291," ; "))</f>
        <v/>
      </c>
    </row>
    <row r="46" spans="3:10" x14ac:dyDescent="0.25">
      <c r="C46" s="10"/>
      <c r="E46" s="16"/>
      <c r="F46" s="17"/>
      <c r="G46" s="1"/>
      <c r="H46" s="1" t="str">
        <f t="array" ref="H46">IF($I46="","",MROUND(SUMIF(A:A,"="&amp;I46,F:F),0.25))</f>
        <v/>
      </c>
      <c r="I46" s="1" t="str">
        <f t="array" ref="I46">IFERROR(INDEX($A$52:$A$291, MATCH(0, COUNTIF($H$21:I45, $A$52:$A$291&amp;"") + IF($A$52:$A$291="",1,0), 0)), "")</f>
        <v/>
      </c>
      <c r="J46" s="1" t="str">
        <f>IF($I46="","",ConcatIf($A$52:$A$291,$I46,$G$52:$G$291," ; "))</f>
        <v/>
      </c>
    </row>
    <row r="47" spans="3:10" x14ac:dyDescent="0.25">
      <c r="C47" s="10"/>
      <c r="E47" s="16"/>
      <c r="F47" s="17"/>
      <c r="G47" s="1"/>
      <c r="H47" s="1" t="str">
        <f t="array" ref="H47">IF($I47="","",MROUND(SUMIF(A:A,"="&amp;I47,F:F),0.25))</f>
        <v/>
      </c>
      <c r="I47" s="1" t="str">
        <f t="array" ref="I47">IFERROR(INDEX($A$52:$A$291, MATCH(0, COUNTIF($H$21:I46, $A$52:$A$291&amp;"") + IF($A$52:$A$291="",1,0), 0)), "")</f>
        <v/>
      </c>
      <c r="J47" s="1" t="str">
        <f>IF($I47="","",ConcatIf($A$52:$A$291,$I47,$G$52:$G$291," ; "))</f>
        <v/>
      </c>
    </row>
    <row r="48" spans="3:10" x14ac:dyDescent="0.25">
      <c r="C48" s="10"/>
      <c r="E48" s="16"/>
      <c r="F48" s="17"/>
      <c r="G48" s="1"/>
      <c r="H48" s="1" t="str">
        <f t="array" ref="H48">IF($I48="","",MROUND(SUMIF(A:A,"="&amp;I48,F:F),0.25))</f>
        <v/>
      </c>
      <c r="I48" s="1" t="str">
        <f t="array" ref="I48">IFERROR(INDEX($A$52:$A$291, MATCH(0, COUNTIF($H$21:I47, $A$52:$A$291&amp;"") + IF($A$52:$A$291="",1,0), 0)), "")</f>
        <v/>
      </c>
      <c r="J48" s="1" t="str">
        <f>IF($I48="","",ConcatIf($A$52:$A$291,$I48,$G$52:$G$291," ; "))</f>
        <v/>
      </c>
    </row>
    <row r="49" spans="1:11" x14ac:dyDescent="0.25">
      <c r="C49" s="10"/>
      <c r="E49" s="16"/>
      <c r="F49" s="17"/>
      <c r="G49" s="1"/>
      <c r="H49" s="1" t="str">
        <f t="array" ref="H49">IF($I49="","",MROUND(SUMIF(A:A,"="&amp;I49,F:F),0.25))</f>
        <v/>
      </c>
      <c r="I49" s="1" t="str">
        <f t="array" ref="I49">IFERROR(INDEX($A$52:$A$291, MATCH(0, COUNTIF($H$21:I48, $A$52:$A$291&amp;"") + IF($A$52:$A$291="",1,0), 0)), "")</f>
        <v/>
      </c>
      <c r="J49" s="1" t="str">
        <f>IF($I49="","",ConcatIf($A$52:$A$291,$I49,$G$52:$G$291," ; "))</f>
        <v/>
      </c>
    </row>
    <row r="50" spans="1:11" x14ac:dyDescent="0.25">
      <c r="C50" s="10"/>
      <c r="E50" s="16"/>
      <c r="F50" s="17"/>
      <c r="G50" s="1"/>
      <c r="H50" s="1" t="str">
        <f t="array" ref="H50">IF($I50="","",MROUND(SUMIF(A:A,"="&amp;I50,F:F),0.25))</f>
        <v/>
      </c>
      <c r="I50" s="1" t="str">
        <f t="array" ref="I50">IFERROR(INDEX($A$52:$A$291, MATCH(0, COUNTIF($H$21:I49, $A$52:$A$291&amp;"") + IF($A$52:$A$291="",1,0), 0)), "")</f>
        <v/>
      </c>
      <c r="J50" s="1" t="str">
        <f>IF($I50="","",ConcatIf($A$52:$A$291,$I50,$G$52:$G$291," ; "))</f>
        <v/>
      </c>
    </row>
    <row r="51" spans="1:11" s="9" customFormat="1" x14ac:dyDescent="0.25">
      <c r="A51" s="22" t="s">
        <v>47</v>
      </c>
      <c r="B51" s="22" t="s">
        <v>45</v>
      </c>
      <c r="C51" s="22" t="s">
        <v>6</v>
      </c>
      <c r="D51" s="28" t="s">
        <v>0</v>
      </c>
      <c r="E51" s="28" t="s">
        <v>1</v>
      </c>
      <c r="F51" s="29" t="s">
        <v>2</v>
      </c>
      <c r="G51" s="24" t="s">
        <v>3</v>
      </c>
      <c r="H51" s="22" t="s">
        <v>2</v>
      </c>
      <c r="I51" s="22" t="s">
        <v>47</v>
      </c>
      <c r="J51" s="24" t="s">
        <v>3</v>
      </c>
    </row>
    <row r="52" spans="1:11" x14ac:dyDescent="0.25">
      <c r="A52" s="1" t="str">
        <f>IF(ISBLANK('05-06 Mon'!A3),"",'05-06 Mon'!A3)</f>
        <v/>
      </c>
      <c r="B52" s="1" t="str">
        <f>IF(ISBLANK('05-06 Mon'!B3),"",'05-06 Mon'!B3)</f>
        <v/>
      </c>
      <c r="C52" s="1" t="str">
        <f>IF(ISBLANK('05-06 Mon'!C3),"",'05-06 Mon'!C3)</f>
        <v/>
      </c>
      <c r="D52" s="5" t="str">
        <f>IF(ISBLANK('05-06 Mon'!D3),"",'05-06 Mon'!D3)</f>
        <v/>
      </c>
      <c r="E52" s="5" t="str">
        <f>IF(ISBLANK('05-06 Mon'!E3),"",'05-06 Mon'!E3)</f>
        <v/>
      </c>
      <c r="F52" s="2" t="str">
        <f>IF(ISBLANK('05-06 Mon'!F3),"",'05-06 Mon'!F3)</f>
        <v/>
      </c>
      <c r="G52" s="1" t="str">
        <f>IF(ISBLANK('05-06 Mon'!G3),"",'05-06 Mon'!G3)</f>
        <v/>
      </c>
      <c r="H52" s="19" t="str">
        <f t="shared" ref="H52:H89" si="0">IF($I52="","",MROUND(SUMIF(A:A,"="&amp;I52,F:F),0.25))</f>
        <v/>
      </c>
      <c r="I52" s="18" t="str">
        <f t="array" ref="I52">IFERROR(INDEX($A$52:$A$291, MATCH(0, COUNTIF($I$51:I51, $A$52:$A$291&amp;"") + IF($A$52:$A$291="",1,0), 0)), "")</f>
        <v/>
      </c>
      <c r="J52" s="1" t="str">
        <f>IF($I52="","",ConcatIf($A$52:$A$91,$I52,$G$52:$G$91," ; "))</f>
        <v/>
      </c>
    </row>
    <row r="53" spans="1:11" x14ac:dyDescent="0.25">
      <c r="A53" s="1" t="str">
        <f>IF(ISBLANK('05-06 Mon'!A4),"",'05-06 Mon'!A4)</f>
        <v/>
      </c>
      <c r="B53" s="1" t="str">
        <f>IF(ISBLANK('05-06 Mon'!B4),"",'05-06 Mon'!B4)</f>
        <v/>
      </c>
      <c r="C53" s="1" t="str">
        <f>IF(ISBLANK('05-06 Mon'!C4),"",'05-06 Mon'!C4)</f>
        <v/>
      </c>
      <c r="D53" s="5" t="str">
        <f>IF(ISBLANK('05-06 Mon'!D4),"",'05-06 Mon'!D4)</f>
        <v/>
      </c>
      <c r="E53" s="5" t="str">
        <f>IF(ISBLANK('05-06 Mon'!E4),"",'05-06 Mon'!E4)</f>
        <v/>
      </c>
      <c r="F53" s="2" t="str">
        <f>IF(ISBLANK('05-06 Mon'!F4),"",'05-06 Mon'!F4)</f>
        <v/>
      </c>
      <c r="G53" s="1" t="str">
        <f>IF(ISBLANK('05-06 Mon'!G4),"",'05-06 Mon'!G4)</f>
        <v/>
      </c>
      <c r="H53" s="19" t="str">
        <f t="shared" si="0"/>
        <v/>
      </c>
      <c r="I53" s="18" t="str">
        <f t="array" ref="I53">IFERROR(INDEX($A$52:$A$291, MATCH(0, COUNTIF($I$51:I52, $A$52:$A$291&amp;"") + IF($A$52:$A$291="",1,0), 0)), "")</f>
        <v/>
      </c>
      <c r="J53" s="1" t="str">
        <f>IF($I53="","",ConcatIf($A$52:$A$91,$I53,$G$52:$G$91," ; "))</f>
        <v/>
      </c>
    </row>
    <row r="54" spans="1:11" x14ac:dyDescent="0.25">
      <c r="A54" s="1" t="str">
        <f>IF(ISBLANK('05-06 Mon'!A5),"",'05-06 Mon'!A5)</f>
        <v/>
      </c>
      <c r="B54" s="1" t="str">
        <f>IF(ISBLANK('05-06 Mon'!B5),"",'05-06 Mon'!B5)</f>
        <v/>
      </c>
      <c r="C54" s="1" t="str">
        <f>IF(ISBLANK('05-06 Mon'!C5),"",'05-06 Mon'!C5)</f>
        <v/>
      </c>
      <c r="D54" s="5" t="str">
        <f>IF(ISBLANK('05-06 Mon'!D5),"",'05-06 Mon'!D5)</f>
        <v/>
      </c>
      <c r="E54" s="5" t="str">
        <f>IF(ISBLANK('05-06 Mon'!E5),"",'05-06 Mon'!E5)</f>
        <v/>
      </c>
      <c r="F54" s="2" t="str">
        <f>IF(ISBLANK('05-06 Mon'!F5),"",'05-06 Mon'!F5)</f>
        <v/>
      </c>
      <c r="G54" s="1" t="str">
        <f>IF(ISBLANK('05-06 Mon'!G5),"",'05-06 Mon'!G5)</f>
        <v/>
      </c>
      <c r="H54" s="19" t="str">
        <f t="shared" si="0"/>
        <v/>
      </c>
      <c r="I54" s="18" t="str">
        <f t="array" ref="I54">IFERROR(INDEX($A$52:$A$291, MATCH(0, COUNTIF($I$51:I53, $A$52:$A$291&amp;"") + IF($A$52:$A$291="",1,0), 0)), "")</f>
        <v/>
      </c>
      <c r="J54" s="1" t="str">
        <f>IF($I54="","",ConcatIf($A$52:$A$91,$I54,$G$52:$G$91," ; "))</f>
        <v/>
      </c>
    </row>
    <row r="55" spans="1:11" x14ac:dyDescent="0.25">
      <c r="A55" s="1" t="str">
        <f>IF(ISBLANK('05-06 Mon'!A6),"",'05-06 Mon'!A6)</f>
        <v/>
      </c>
      <c r="B55" s="1" t="str">
        <f>IF(ISBLANK('05-06 Mon'!B6),"",'05-06 Mon'!B6)</f>
        <v/>
      </c>
      <c r="C55" s="1" t="str">
        <f>IF(ISBLANK('05-06 Mon'!C6),"",'05-06 Mon'!C6)</f>
        <v/>
      </c>
      <c r="D55" s="5" t="str">
        <f>IF(ISBLANK('05-06 Mon'!D6),"",'05-06 Mon'!D6)</f>
        <v/>
      </c>
      <c r="E55" s="5" t="str">
        <f>IF(ISBLANK('05-06 Mon'!E6),"",'05-06 Mon'!E6)</f>
        <v/>
      </c>
      <c r="F55" s="2" t="str">
        <f>IF(ISBLANK('05-06 Mon'!F6),"",'05-06 Mon'!F6)</f>
        <v/>
      </c>
      <c r="G55" s="1" t="str">
        <f>IF(ISBLANK('05-06 Mon'!G6),"",'05-06 Mon'!G6)</f>
        <v/>
      </c>
      <c r="H55" s="19" t="str">
        <f t="shared" si="0"/>
        <v/>
      </c>
      <c r="I55" s="18" t="str">
        <f t="array" ref="I55">IFERROR(INDEX($A$52:$A$291, MATCH(0, COUNTIF($I$51:I54, $A$52:$A$291&amp;"") + IF($A$52:$A$291="",1,0), 0)), "")</f>
        <v/>
      </c>
      <c r="J55" s="1" t="str">
        <f>IF($I55="","",ConcatIf($A$52:$A$91,$I55,$G$52:$G$91," ; "))</f>
        <v/>
      </c>
    </row>
    <row r="56" spans="1:11" x14ac:dyDescent="0.25">
      <c r="A56" s="1" t="str">
        <f>IF(ISBLANK('05-06 Mon'!A7),"",'05-06 Mon'!A7)</f>
        <v/>
      </c>
      <c r="B56" s="1" t="str">
        <f>IF(ISBLANK('05-06 Mon'!B7),"",'05-06 Mon'!B7)</f>
        <v/>
      </c>
      <c r="C56" s="1" t="str">
        <f>IF(ISBLANK('05-06 Mon'!C7),"",'05-06 Mon'!C7)</f>
        <v/>
      </c>
      <c r="D56" s="5" t="str">
        <f>IF(ISBLANK('05-06 Mon'!D7),"",'05-06 Mon'!D7)</f>
        <v/>
      </c>
      <c r="E56" s="5" t="str">
        <f>IF(ISBLANK('05-06 Mon'!E7),"",'05-06 Mon'!E7)</f>
        <v/>
      </c>
      <c r="F56" s="2" t="str">
        <f>IF(ISBLANK('05-06 Mon'!F7),"",'05-06 Mon'!F7)</f>
        <v/>
      </c>
      <c r="G56" s="1" t="str">
        <f>IF(ISBLANK('05-06 Mon'!G7),"",'05-06 Mon'!G7)</f>
        <v/>
      </c>
      <c r="H56" s="19" t="str">
        <f t="shared" si="0"/>
        <v/>
      </c>
      <c r="I56" s="18" t="str">
        <f t="array" ref="I56">IFERROR(INDEX($A$52:$A$291, MATCH(0, COUNTIF($I$51:I55, $A$52:$A$291&amp;"") + IF($A$52:$A$291="",1,0), 0)), "")</f>
        <v/>
      </c>
      <c r="J56" s="1" t="str">
        <f>IF($I56="","",ConcatIf($A$52:$A$91,$I56,$G$52:$G$91," ; "))</f>
        <v/>
      </c>
      <c r="K56" s="7"/>
    </row>
    <row r="57" spans="1:11" x14ac:dyDescent="0.25">
      <c r="A57" s="1" t="str">
        <f>IF(ISBLANK('05-06 Mon'!A8),"",'05-06 Mon'!A8)</f>
        <v/>
      </c>
      <c r="B57" s="1" t="str">
        <f>IF(ISBLANK('05-06 Mon'!B8),"",'05-06 Mon'!B8)</f>
        <v/>
      </c>
      <c r="C57" s="1" t="str">
        <f>IF(ISBLANK('05-06 Mon'!C8),"",'05-06 Mon'!C8)</f>
        <v/>
      </c>
      <c r="D57" s="5" t="str">
        <f>IF(ISBLANK('05-06 Mon'!D8),"",'05-06 Mon'!D8)</f>
        <v/>
      </c>
      <c r="E57" s="5" t="str">
        <f>IF(ISBLANK('05-06 Mon'!E8),"",'05-06 Mon'!E8)</f>
        <v/>
      </c>
      <c r="F57" s="2" t="str">
        <f>IF(ISBLANK('05-06 Mon'!F8),"",'05-06 Mon'!F8)</f>
        <v/>
      </c>
      <c r="G57" s="1" t="str">
        <f>IF(ISBLANK('05-06 Mon'!G8),"",'05-06 Mon'!G8)</f>
        <v/>
      </c>
      <c r="H57" s="19" t="str">
        <f t="shared" si="0"/>
        <v/>
      </c>
      <c r="I57" s="18" t="str">
        <f t="array" ref="I57">IFERROR(INDEX($A$52:$A$291, MATCH(0, COUNTIF($I$51:I56, $A$52:$A$291&amp;"") + IF($A$52:$A$291="",1,0), 0)), "")</f>
        <v/>
      </c>
      <c r="J57" s="1" t="str">
        <f>IF($I57="","",ConcatIf($A$52:$A$91,$I57,$G$52:$G$91," ; "))</f>
        <v/>
      </c>
      <c r="K57" s="7"/>
    </row>
    <row r="58" spans="1:11" x14ac:dyDescent="0.25">
      <c r="A58" s="1" t="str">
        <f>IF(ISBLANK('05-06 Mon'!A9),"",'05-06 Mon'!A9)</f>
        <v/>
      </c>
      <c r="B58" s="1" t="str">
        <f>IF(ISBLANK('05-06 Mon'!B9),"",'05-06 Mon'!B9)</f>
        <v/>
      </c>
      <c r="C58" s="1" t="str">
        <f>IF(ISBLANK('05-06 Mon'!C9),"",'05-06 Mon'!C9)</f>
        <v/>
      </c>
      <c r="D58" s="5" t="str">
        <f>IF(ISBLANK('05-06 Mon'!D9),"",'05-06 Mon'!D9)</f>
        <v/>
      </c>
      <c r="E58" s="5" t="str">
        <f>IF(ISBLANK('05-06 Mon'!E9),"",'05-06 Mon'!E9)</f>
        <v/>
      </c>
      <c r="F58" s="2" t="str">
        <f>IF(ISBLANK('05-06 Mon'!F9),"",'05-06 Mon'!F9)</f>
        <v/>
      </c>
      <c r="G58" s="1" t="str">
        <f>IF(ISBLANK('05-06 Mon'!G9),"",'05-06 Mon'!G9)</f>
        <v/>
      </c>
      <c r="H58" s="19" t="str">
        <f t="shared" si="0"/>
        <v/>
      </c>
      <c r="I58" s="18" t="str">
        <f t="array" ref="I58">IFERROR(INDEX($A$52:$A$291, MATCH(0, COUNTIF($I$51:I57, $A$52:$A$291&amp;"") + IF($A$52:$A$291="",1,0), 0)), "")</f>
        <v/>
      </c>
      <c r="J58" s="1" t="str">
        <f>IF($I58="","",ConcatIf($A$52:$A$91,$I58,$G$52:$G$91," ; "))</f>
        <v/>
      </c>
      <c r="K58" s="7"/>
    </row>
    <row r="59" spans="1:11" x14ac:dyDescent="0.25">
      <c r="A59" s="1" t="str">
        <f>IF(ISBLANK('05-06 Mon'!A10),"",'05-06 Mon'!A10)</f>
        <v/>
      </c>
      <c r="B59" s="1" t="str">
        <f>IF(ISBLANK('05-06 Mon'!B10),"",'05-06 Mon'!B10)</f>
        <v/>
      </c>
      <c r="C59" s="1" t="str">
        <f>IF(ISBLANK('05-06 Mon'!C10),"",'05-06 Mon'!C10)</f>
        <v/>
      </c>
      <c r="D59" s="5" t="str">
        <f>IF(ISBLANK('05-06 Mon'!D10),"",'05-06 Mon'!D10)</f>
        <v/>
      </c>
      <c r="E59" s="5" t="str">
        <f>IF(ISBLANK('05-06 Mon'!E10),"",'05-06 Mon'!E10)</f>
        <v/>
      </c>
      <c r="F59" s="2" t="str">
        <f>IF(ISBLANK('05-06 Mon'!F10),"",'05-06 Mon'!F10)</f>
        <v/>
      </c>
      <c r="G59" s="1" t="str">
        <f>IF(ISBLANK('05-06 Mon'!G10),"",'05-06 Mon'!G10)</f>
        <v/>
      </c>
      <c r="H59" s="19" t="str">
        <f t="shared" si="0"/>
        <v/>
      </c>
      <c r="I59" s="18" t="str">
        <f t="array" ref="I59">IFERROR(INDEX($A$52:$A$291, MATCH(0, COUNTIF($I$51:I58, $A$52:$A$291&amp;"") + IF($A$52:$A$291="",1,0), 0)), "")</f>
        <v/>
      </c>
      <c r="J59" s="1" t="str">
        <f>IF($I59="","",ConcatIf($A$52:$A$91,$I59,$G$52:$G$91," ; "))</f>
        <v/>
      </c>
      <c r="K59" s="7"/>
    </row>
    <row r="60" spans="1:11" x14ac:dyDescent="0.25">
      <c r="A60" s="1" t="str">
        <f>IF(ISBLANK('05-06 Mon'!A11),"",'05-06 Mon'!A11)</f>
        <v/>
      </c>
      <c r="B60" s="1" t="str">
        <f>IF(ISBLANK('05-06 Mon'!B11),"",'05-06 Mon'!B11)</f>
        <v/>
      </c>
      <c r="C60" s="1" t="str">
        <f>IF(ISBLANK('05-06 Mon'!C11),"",'05-06 Mon'!C11)</f>
        <v/>
      </c>
      <c r="D60" s="5" t="str">
        <f>IF(ISBLANK('05-06 Mon'!D11),"",'05-06 Mon'!D11)</f>
        <v/>
      </c>
      <c r="E60" s="5" t="str">
        <f>IF(ISBLANK('05-06 Mon'!E11),"",'05-06 Mon'!E11)</f>
        <v/>
      </c>
      <c r="F60" s="2" t="str">
        <f>IF(ISBLANK('05-06 Mon'!F11),"",'05-06 Mon'!F11)</f>
        <v/>
      </c>
      <c r="G60" s="1" t="str">
        <f>IF(ISBLANK('05-06 Mon'!G11),"",'05-06 Mon'!G11)</f>
        <v/>
      </c>
      <c r="H60" s="19" t="str">
        <f t="shared" si="0"/>
        <v/>
      </c>
      <c r="I60" s="18" t="str">
        <f t="array" ref="I60">IFERROR(INDEX($A$52:$A$291, MATCH(0, COUNTIF($I$51:I59, $A$52:$A$291&amp;"") + IF($A$52:$A$291="",1,0), 0)), "")</f>
        <v/>
      </c>
      <c r="J60" s="1" t="str">
        <f>IF($I60="","",ConcatIf($A$52:$A$91,$I60,$G$52:$G$91," ; "))</f>
        <v/>
      </c>
      <c r="K60" s="7"/>
    </row>
    <row r="61" spans="1:11" x14ac:dyDescent="0.25">
      <c r="A61" s="1" t="str">
        <f>IF(ISBLANK('05-06 Mon'!A12),"",'05-06 Mon'!A12)</f>
        <v/>
      </c>
      <c r="B61" s="1" t="str">
        <f>IF(ISBLANK('05-06 Mon'!B12),"",'05-06 Mon'!B12)</f>
        <v/>
      </c>
      <c r="C61" s="1" t="str">
        <f>IF(ISBLANK('05-06 Mon'!C12),"",'05-06 Mon'!C12)</f>
        <v/>
      </c>
      <c r="D61" s="5" t="str">
        <f>IF(ISBLANK('05-06 Mon'!D12),"",'05-06 Mon'!D12)</f>
        <v/>
      </c>
      <c r="E61" s="5" t="str">
        <f>IF(ISBLANK('05-06 Mon'!E12),"",'05-06 Mon'!E12)</f>
        <v/>
      </c>
      <c r="F61" s="2" t="str">
        <f>IF(ISBLANK('05-06 Mon'!F12),"",'05-06 Mon'!F12)</f>
        <v/>
      </c>
      <c r="G61" s="1" t="str">
        <f>IF(ISBLANK('05-06 Mon'!G12),"",'05-06 Mon'!G12)</f>
        <v/>
      </c>
      <c r="H61" s="19" t="str">
        <f t="shared" si="0"/>
        <v/>
      </c>
      <c r="I61" s="18" t="str">
        <f t="array" ref="I61">IFERROR(INDEX($A$52:$A$291, MATCH(0, COUNTIF($I$51:I60, $A$52:$A$291&amp;"") + IF($A$52:$A$291="",1,0), 0)), "")</f>
        <v/>
      </c>
      <c r="J61" s="1" t="str">
        <f>IF($I61="","",ConcatIf($A$52:$A$91,$I61,$G$52:$G$91," ; "))</f>
        <v/>
      </c>
      <c r="K61" s="7"/>
    </row>
    <row r="62" spans="1:11" x14ac:dyDescent="0.25">
      <c r="A62" s="1" t="str">
        <f>IF(ISBLANK('05-06 Mon'!A13),"",'05-06 Mon'!A13)</f>
        <v/>
      </c>
      <c r="B62" s="1" t="str">
        <f>IF(ISBLANK('05-06 Mon'!B13),"",'05-06 Mon'!B13)</f>
        <v/>
      </c>
      <c r="C62" s="1" t="str">
        <f>IF(ISBLANK('05-06 Mon'!C13),"",'05-06 Mon'!C13)</f>
        <v/>
      </c>
      <c r="D62" s="5" t="str">
        <f>IF(ISBLANK('05-06 Mon'!D13),"",'05-06 Mon'!D13)</f>
        <v/>
      </c>
      <c r="E62" s="5" t="str">
        <f>IF(ISBLANK('05-06 Mon'!E13),"",'05-06 Mon'!E13)</f>
        <v/>
      </c>
      <c r="F62" s="2" t="str">
        <f>IF(ISBLANK('05-06 Mon'!F13),"",'05-06 Mon'!F13)</f>
        <v/>
      </c>
      <c r="G62" s="1" t="str">
        <f>IF(ISBLANK('05-06 Mon'!G13),"",'05-06 Mon'!G13)</f>
        <v/>
      </c>
      <c r="H62" s="19" t="str">
        <f t="shared" si="0"/>
        <v/>
      </c>
      <c r="I62" s="18" t="str">
        <f t="array" ref="I62">IFERROR(INDEX($A$52:$A$291, MATCH(0, COUNTIF($I$51:I61, $A$52:$A$291&amp;"") + IF($A$52:$A$291="",1,0), 0)), "")</f>
        <v/>
      </c>
      <c r="J62" s="1" t="str">
        <f>IF($I62="","",ConcatIf($A$52:$A$91,$I62,$G$52:$G$91," ; "))</f>
        <v/>
      </c>
    </row>
    <row r="63" spans="1:11" ht="14.25" customHeight="1" x14ac:dyDescent="0.25">
      <c r="A63" s="1" t="str">
        <f>IF(ISBLANK('05-06 Mon'!A14),"",'05-06 Mon'!A14)</f>
        <v/>
      </c>
      <c r="B63" s="1" t="str">
        <f>IF(ISBLANK('05-06 Mon'!B14),"",'05-06 Mon'!B14)</f>
        <v/>
      </c>
      <c r="C63" s="1" t="str">
        <f>IF(ISBLANK('05-06 Mon'!C14),"",'05-06 Mon'!C14)</f>
        <v/>
      </c>
      <c r="D63" s="5" t="str">
        <f>IF(ISBLANK('05-06 Mon'!D14),"",'05-06 Mon'!D14)</f>
        <v/>
      </c>
      <c r="E63" s="5" t="str">
        <f>IF(ISBLANK('05-06 Mon'!E14),"",'05-06 Mon'!E14)</f>
        <v/>
      </c>
      <c r="F63" s="2" t="str">
        <f>IF(ISBLANK('05-06 Mon'!F14),"",'05-06 Mon'!F14)</f>
        <v/>
      </c>
      <c r="G63" s="1" t="str">
        <f>IF(ISBLANK('05-06 Mon'!G14),"",'05-06 Mon'!G14)</f>
        <v/>
      </c>
      <c r="H63" s="19" t="str">
        <f t="shared" si="0"/>
        <v/>
      </c>
      <c r="I63" s="18" t="str">
        <f t="array" ref="I63">IFERROR(INDEX($A$52:$A$291, MATCH(0, COUNTIF($I$51:I62, $A$52:$A$291&amp;"") + IF($A$52:$A$291="",1,0), 0)), "")</f>
        <v/>
      </c>
      <c r="J63" s="1" t="str">
        <f>IF($I63="","",ConcatIf($A$52:$A$91,$I63,$G$52:$G$91," ; "))</f>
        <v/>
      </c>
    </row>
    <row r="64" spans="1:11" x14ac:dyDescent="0.25">
      <c r="A64" s="1" t="str">
        <f>IF(ISBLANK('05-06 Mon'!A15),"",'05-06 Mon'!A15)</f>
        <v/>
      </c>
      <c r="B64" s="1" t="str">
        <f>IF(ISBLANK('05-06 Mon'!B15),"",'05-06 Mon'!B15)</f>
        <v/>
      </c>
      <c r="C64" s="1" t="str">
        <f>IF(ISBLANK('05-06 Mon'!C15),"",'05-06 Mon'!C15)</f>
        <v/>
      </c>
      <c r="D64" s="5" t="str">
        <f>IF(ISBLANK('05-06 Mon'!D15),"",'05-06 Mon'!D15)</f>
        <v/>
      </c>
      <c r="E64" s="5" t="str">
        <f>IF(ISBLANK('05-06 Mon'!E15),"",'05-06 Mon'!E15)</f>
        <v/>
      </c>
      <c r="F64" s="2" t="str">
        <f>IF(ISBLANK('05-06 Mon'!F15),"",'05-06 Mon'!F15)</f>
        <v/>
      </c>
      <c r="G64" s="1" t="str">
        <f>IF(ISBLANK('05-06 Mon'!G15),"",'05-06 Mon'!G15)</f>
        <v/>
      </c>
      <c r="H64" s="19" t="str">
        <f t="shared" si="0"/>
        <v/>
      </c>
      <c r="I64" s="18" t="str">
        <f t="array" ref="I64">IFERROR(INDEX($A$52:$A$291, MATCH(0, COUNTIF($I$51:I63, $A$52:$A$291&amp;"") + IF($A$52:$A$291="",1,0), 0)), "")</f>
        <v/>
      </c>
      <c r="J64" s="1" t="str">
        <f>IF($I64="","",ConcatIf($A$52:$A$91,$I64,$G$52:$G$91," ; "))</f>
        <v/>
      </c>
    </row>
    <row r="65" spans="1:10" x14ac:dyDescent="0.25">
      <c r="A65" s="1" t="str">
        <f>IF(ISBLANK('05-06 Mon'!A16),"",'05-06 Mon'!A16)</f>
        <v/>
      </c>
      <c r="B65" s="1" t="str">
        <f>IF(ISBLANK('05-06 Mon'!B16),"",'05-06 Mon'!B16)</f>
        <v/>
      </c>
      <c r="C65" s="1" t="str">
        <f>IF(ISBLANK('05-06 Mon'!C16),"",'05-06 Mon'!C16)</f>
        <v/>
      </c>
      <c r="D65" s="5" t="str">
        <f>IF(ISBLANK('05-06 Mon'!D16),"",'05-06 Mon'!D16)</f>
        <v/>
      </c>
      <c r="E65" s="5" t="str">
        <f>IF(ISBLANK('05-06 Mon'!E16),"",'05-06 Mon'!E16)</f>
        <v/>
      </c>
      <c r="F65" s="2" t="str">
        <f>IF(ISBLANK('05-06 Mon'!F16),"",'05-06 Mon'!F16)</f>
        <v/>
      </c>
      <c r="G65" s="1" t="str">
        <f>IF(ISBLANK('05-06 Mon'!G16),"",'05-06 Mon'!G16)</f>
        <v/>
      </c>
      <c r="H65" s="19" t="str">
        <f t="shared" si="0"/>
        <v/>
      </c>
      <c r="I65" s="18" t="str">
        <f t="array" ref="I65">IFERROR(INDEX($A$52:$A$291, MATCH(0, COUNTIF($I$51:I64, $A$52:$A$291&amp;"") + IF($A$52:$A$291="",1,0), 0)), "")</f>
        <v/>
      </c>
      <c r="J65" s="1" t="str">
        <f>IF($I65="","",ConcatIf($A$52:$A$91,$I65,$G$52:$G$91," ; "))</f>
        <v/>
      </c>
    </row>
    <row r="66" spans="1:10" x14ac:dyDescent="0.25">
      <c r="A66" s="1" t="str">
        <f>IF(ISBLANK('05-06 Mon'!A17),"",'05-06 Mon'!A17)</f>
        <v/>
      </c>
      <c r="B66" s="1" t="str">
        <f>IF(ISBLANK('05-06 Mon'!B17),"",'05-06 Mon'!B17)</f>
        <v/>
      </c>
      <c r="C66" s="1" t="str">
        <f>IF(ISBLANK('05-06 Mon'!C17),"",'05-06 Mon'!C17)</f>
        <v/>
      </c>
      <c r="D66" s="5" t="str">
        <f>IF(ISBLANK('05-06 Mon'!D17),"",'05-06 Mon'!D17)</f>
        <v/>
      </c>
      <c r="E66" s="5" t="str">
        <f>IF(ISBLANK('05-06 Mon'!E17),"",'05-06 Mon'!E17)</f>
        <v/>
      </c>
      <c r="F66" s="2" t="str">
        <f>IF(ISBLANK('05-06 Mon'!F17),"",'05-06 Mon'!F17)</f>
        <v/>
      </c>
      <c r="G66" s="1" t="str">
        <f>IF(ISBLANK('05-06 Mon'!G17),"",'05-06 Mon'!G17)</f>
        <v/>
      </c>
      <c r="H66" s="19" t="str">
        <f t="shared" si="0"/>
        <v/>
      </c>
      <c r="I66" s="18" t="str">
        <f t="array" ref="I66">IFERROR(INDEX($A$52:$A$291, MATCH(0, COUNTIF($I$51:I65, $A$52:$A$291&amp;"") + IF($A$52:$A$291="",1,0), 0)), "")</f>
        <v/>
      </c>
      <c r="J66" s="1" t="str">
        <f>IF($I66="","",ConcatIf($A$52:$A$91,$I66,$G$52:$G$91," ; "))</f>
        <v/>
      </c>
    </row>
    <row r="67" spans="1:10" x14ac:dyDescent="0.25">
      <c r="A67" s="1" t="str">
        <f>IF(ISBLANK('05-06 Mon'!A18),"",'05-06 Mon'!A18)</f>
        <v/>
      </c>
      <c r="B67" s="1" t="str">
        <f>IF(ISBLANK('05-06 Mon'!B18),"",'05-06 Mon'!B18)</f>
        <v/>
      </c>
      <c r="C67" s="1" t="str">
        <f>IF(ISBLANK('05-06 Mon'!C18),"",'05-06 Mon'!C18)</f>
        <v/>
      </c>
      <c r="D67" s="5" t="str">
        <f>IF(ISBLANK('05-06 Mon'!D18),"",'05-06 Mon'!D18)</f>
        <v/>
      </c>
      <c r="E67" s="5" t="str">
        <f>IF(ISBLANK('05-06 Mon'!E18),"",'05-06 Mon'!E18)</f>
        <v/>
      </c>
      <c r="F67" s="2" t="str">
        <f>IF(ISBLANK('05-06 Mon'!F18),"",'05-06 Mon'!F18)</f>
        <v/>
      </c>
      <c r="G67" s="1" t="str">
        <f>IF(ISBLANK('05-06 Mon'!G18),"",'05-06 Mon'!G18)</f>
        <v/>
      </c>
      <c r="H67" s="19" t="str">
        <f t="shared" si="0"/>
        <v/>
      </c>
      <c r="I67" s="18" t="str">
        <f t="array" ref="I67">IFERROR(INDEX($A$52:$A$291, MATCH(0, COUNTIF($I$51:I66, $A$52:$A$291&amp;"") + IF($A$52:$A$291="",1,0), 0)), "")</f>
        <v/>
      </c>
      <c r="J67" s="1" t="str">
        <f>IF($I67="","",ConcatIf($A$52:$A$91,$I67,$G$52:$G$91," ; "))</f>
        <v/>
      </c>
    </row>
    <row r="68" spans="1:10" x14ac:dyDescent="0.25">
      <c r="A68" s="1" t="str">
        <f>IF(ISBLANK('05-06 Mon'!A19),"",'05-06 Mon'!A19)</f>
        <v/>
      </c>
      <c r="B68" s="1" t="str">
        <f>IF(ISBLANK('05-06 Mon'!B19),"",'05-06 Mon'!B19)</f>
        <v/>
      </c>
      <c r="C68" s="1" t="str">
        <f>IF(ISBLANK('05-06 Mon'!C19),"",'05-06 Mon'!C19)</f>
        <v/>
      </c>
      <c r="D68" s="5" t="str">
        <f>IF(ISBLANK('05-06 Mon'!D19),"",'05-06 Mon'!D19)</f>
        <v/>
      </c>
      <c r="E68" s="5" t="str">
        <f>IF(ISBLANK('05-06 Mon'!E19),"",'05-06 Mon'!E19)</f>
        <v/>
      </c>
      <c r="F68" s="2" t="str">
        <f>IF(ISBLANK('05-06 Mon'!F19),"",'05-06 Mon'!F19)</f>
        <v/>
      </c>
      <c r="G68" s="1" t="str">
        <f>IF(ISBLANK('05-06 Mon'!G19),"",'05-06 Mon'!G19)</f>
        <v/>
      </c>
      <c r="H68" s="19" t="str">
        <f t="shared" si="0"/>
        <v/>
      </c>
      <c r="I68" s="18" t="str">
        <f t="array" ref="I68">IFERROR(INDEX($A$52:$A$291, MATCH(0, COUNTIF($I$51:I67, $A$52:$A$291&amp;"") + IF($A$52:$A$291="",1,0), 0)), "")</f>
        <v/>
      </c>
      <c r="J68" s="1" t="str">
        <f>IF($I68="","",ConcatIf($A$52:$A$91,$I68,$G$52:$G$91," ; "))</f>
        <v/>
      </c>
    </row>
    <row r="69" spans="1:10" x14ac:dyDescent="0.25">
      <c r="A69" s="1" t="str">
        <f>IF(ISBLANK('05-06 Mon'!A20),"",'05-06 Mon'!A20)</f>
        <v/>
      </c>
      <c r="B69" s="1" t="str">
        <f>IF(ISBLANK('05-06 Mon'!B20),"",'05-06 Mon'!B20)</f>
        <v/>
      </c>
      <c r="C69" s="1" t="str">
        <f>IF(ISBLANK('05-06 Mon'!C20),"",'05-06 Mon'!C20)</f>
        <v/>
      </c>
      <c r="D69" s="5" t="str">
        <f>IF(ISBLANK('05-06 Mon'!D20),"",'05-06 Mon'!D20)</f>
        <v/>
      </c>
      <c r="E69" s="5" t="str">
        <f>IF(ISBLANK('05-06 Mon'!E20),"",'05-06 Mon'!E20)</f>
        <v/>
      </c>
      <c r="F69" s="2" t="str">
        <f>IF(ISBLANK('05-06 Mon'!F20),"",'05-06 Mon'!F20)</f>
        <v/>
      </c>
      <c r="G69" s="1" t="str">
        <f>IF(ISBLANK('05-06 Mon'!G20),"",'05-06 Mon'!G20)</f>
        <v/>
      </c>
      <c r="H69" s="19" t="str">
        <f t="shared" si="0"/>
        <v/>
      </c>
      <c r="I69" s="18" t="str">
        <f t="array" ref="I69">IFERROR(INDEX($A$52:$A$291, MATCH(0, COUNTIF($I$51:I68, $A$52:$A$291&amp;"") + IF($A$52:$A$291="",1,0), 0)), "")</f>
        <v/>
      </c>
      <c r="J69" s="1" t="str">
        <f>IF($I69="","",ConcatIf($A$52:$A$91,$I69,$G$52:$G$91," ; "))</f>
        <v/>
      </c>
    </row>
    <row r="70" spans="1:10" x14ac:dyDescent="0.25">
      <c r="A70" s="1" t="str">
        <f>IF(ISBLANK('05-06 Mon'!A21),"",'05-06 Mon'!A21)</f>
        <v/>
      </c>
      <c r="B70" s="1" t="str">
        <f>IF(ISBLANK('05-06 Mon'!B21),"",'05-06 Mon'!B21)</f>
        <v/>
      </c>
      <c r="C70" s="1" t="str">
        <f>IF(ISBLANK('05-06 Mon'!C21),"",'05-06 Mon'!C21)</f>
        <v/>
      </c>
      <c r="D70" s="5" t="str">
        <f>IF(ISBLANK('05-06 Mon'!D21),"",'05-06 Mon'!D21)</f>
        <v/>
      </c>
      <c r="E70" s="5" t="str">
        <f>IF(ISBLANK('05-06 Mon'!E21),"",'05-06 Mon'!E21)</f>
        <v/>
      </c>
      <c r="F70" s="2" t="str">
        <f>IF(ISBLANK('05-06 Mon'!F21),"",'05-06 Mon'!F21)</f>
        <v/>
      </c>
      <c r="G70" s="1" t="str">
        <f>IF(ISBLANK('05-06 Mon'!G21),"",'05-06 Mon'!G21)</f>
        <v/>
      </c>
      <c r="H70" s="19" t="str">
        <f t="shared" si="0"/>
        <v/>
      </c>
      <c r="I70" s="18" t="str">
        <f t="array" ref="I70">IFERROR(INDEX($A$52:$A$291, MATCH(0, COUNTIF($I$51:I69, $A$52:$A$291&amp;"") + IF($A$52:$A$291="",1,0), 0)), "")</f>
        <v/>
      </c>
      <c r="J70" s="1" t="str">
        <f>IF($I70="","",ConcatIf($A$52:$A$91,$I70,$G$52:$G$91," ; "))</f>
        <v/>
      </c>
    </row>
    <row r="71" spans="1:10" x14ac:dyDescent="0.25">
      <c r="A71" s="1" t="str">
        <f>IF(ISBLANK('05-06 Mon'!A22),"",'05-06 Mon'!A22)</f>
        <v/>
      </c>
      <c r="B71" s="1" t="str">
        <f>IF(ISBLANK('05-06 Mon'!B22),"",'05-06 Mon'!B22)</f>
        <v/>
      </c>
      <c r="C71" s="1" t="str">
        <f>IF(ISBLANK('05-06 Mon'!C22),"",'05-06 Mon'!C22)</f>
        <v/>
      </c>
      <c r="D71" s="5" t="str">
        <f>IF(ISBLANK('05-06 Mon'!D22),"",'05-06 Mon'!D22)</f>
        <v/>
      </c>
      <c r="E71" s="5" t="str">
        <f>IF(ISBLANK('05-06 Mon'!E22),"",'05-06 Mon'!E22)</f>
        <v/>
      </c>
      <c r="F71" s="2" t="str">
        <f>IF(ISBLANK('05-06 Mon'!F22),"",'05-06 Mon'!F22)</f>
        <v/>
      </c>
      <c r="G71" s="1" t="str">
        <f>IF(ISBLANK('05-06 Mon'!G22),"",'05-06 Mon'!G22)</f>
        <v/>
      </c>
      <c r="H71" s="19" t="str">
        <f t="shared" si="0"/>
        <v/>
      </c>
      <c r="I71" s="18" t="str">
        <f t="array" ref="I71">IFERROR(INDEX($A$52:$A$291, MATCH(0, COUNTIF($I$51:I70, $A$52:$A$291&amp;"") + IF($A$52:$A$291="",1,0), 0)), "")</f>
        <v/>
      </c>
      <c r="J71" s="1" t="str">
        <f>IF($I71="","",ConcatIf($A$52:$A$91,$I71,$G$52:$G$91," ; "))</f>
        <v/>
      </c>
    </row>
    <row r="72" spans="1:10" x14ac:dyDescent="0.25">
      <c r="A72" s="1" t="str">
        <f>IF(ISBLANK('05-06 Mon'!A23),"",'05-06 Mon'!A23)</f>
        <v/>
      </c>
      <c r="B72" s="1" t="str">
        <f>IF(ISBLANK('05-06 Mon'!B23),"",'05-06 Mon'!B23)</f>
        <v/>
      </c>
      <c r="C72" s="1" t="str">
        <f>IF(ISBLANK('05-06 Mon'!C23),"",'05-06 Mon'!C23)</f>
        <v/>
      </c>
      <c r="D72" s="5" t="str">
        <f>IF(ISBLANK('05-06 Mon'!D23),"",'05-06 Mon'!D23)</f>
        <v/>
      </c>
      <c r="E72" s="5" t="str">
        <f>IF(ISBLANK('05-06 Mon'!E23),"",'05-06 Mon'!E23)</f>
        <v/>
      </c>
      <c r="F72" s="2" t="str">
        <f>IF(ISBLANK('05-06 Mon'!F23),"",'05-06 Mon'!F23)</f>
        <v/>
      </c>
      <c r="G72" s="1" t="str">
        <f>IF(ISBLANK('05-06 Mon'!G23),"",'05-06 Mon'!G23)</f>
        <v/>
      </c>
      <c r="H72" s="19" t="str">
        <f t="shared" si="0"/>
        <v/>
      </c>
      <c r="I72" s="18" t="str">
        <f t="array" ref="I72">IFERROR(INDEX($A$52:$A$291, MATCH(0, COUNTIF($I$51:I71, $A$52:$A$291&amp;"") + IF($A$52:$A$291="",1,0), 0)), "")</f>
        <v/>
      </c>
      <c r="J72" s="1" t="str">
        <f>IF($I72="","",ConcatIf($A$52:$A$91,$I72,$G$52:$G$91," ; "))</f>
        <v/>
      </c>
    </row>
    <row r="73" spans="1:10" x14ac:dyDescent="0.25">
      <c r="A73" s="1" t="str">
        <f>IF(ISBLANK('05-06 Mon'!A24),"",'05-06 Mon'!A24)</f>
        <v/>
      </c>
      <c r="B73" s="1" t="str">
        <f>IF(ISBLANK('05-06 Mon'!B24),"",'05-06 Mon'!B24)</f>
        <v/>
      </c>
      <c r="C73" s="1" t="str">
        <f>IF(ISBLANK('05-06 Mon'!C24),"",'05-06 Mon'!C24)</f>
        <v/>
      </c>
      <c r="D73" s="5" t="str">
        <f>IF(ISBLANK('05-06 Mon'!D24),"",'05-06 Mon'!D24)</f>
        <v/>
      </c>
      <c r="E73" s="5" t="str">
        <f>IF(ISBLANK('05-06 Mon'!E24),"",'05-06 Mon'!E24)</f>
        <v/>
      </c>
      <c r="F73" s="2" t="str">
        <f>IF(ISBLANK('05-06 Mon'!F24),"",'05-06 Mon'!F24)</f>
        <v/>
      </c>
      <c r="G73" s="1" t="str">
        <f>IF(ISBLANK('05-06 Mon'!G24),"",'05-06 Mon'!G24)</f>
        <v/>
      </c>
      <c r="H73" s="19" t="str">
        <f t="shared" si="0"/>
        <v/>
      </c>
      <c r="I73" s="18" t="str">
        <f t="array" ref="I73">IFERROR(INDEX($A$52:$A$291, MATCH(0, COUNTIF($I$51:I72, $A$52:$A$291&amp;"") + IF($A$52:$A$291="",1,0), 0)), "")</f>
        <v/>
      </c>
      <c r="J73" s="1" t="str">
        <f>IF($I73="","",ConcatIf($A$52:$A$91,$I73,$G$52:$G$91," ; "))</f>
        <v/>
      </c>
    </row>
    <row r="74" spans="1:10" x14ac:dyDescent="0.25">
      <c r="A74" s="1" t="str">
        <f>IF(ISBLANK('05-06 Mon'!A25),"",'05-06 Mon'!A25)</f>
        <v/>
      </c>
      <c r="B74" s="1" t="str">
        <f>IF(ISBLANK('05-06 Mon'!B25),"",'05-06 Mon'!B25)</f>
        <v/>
      </c>
      <c r="C74" s="1" t="str">
        <f>IF(ISBLANK('05-06 Mon'!C25),"",'05-06 Mon'!C25)</f>
        <v/>
      </c>
      <c r="D74" s="5" t="str">
        <f>IF(ISBLANK('05-06 Mon'!D25),"",'05-06 Mon'!D25)</f>
        <v/>
      </c>
      <c r="E74" s="5" t="str">
        <f>IF(ISBLANK('05-06 Mon'!E25),"",'05-06 Mon'!E25)</f>
        <v/>
      </c>
      <c r="F74" s="2" t="str">
        <f>IF(ISBLANK('05-06 Mon'!F25),"",'05-06 Mon'!F25)</f>
        <v/>
      </c>
      <c r="G74" s="1" t="str">
        <f>IF(ISBLANK('05-06 Mon'!G25),"",'05-06 Mon'!G25)</f>
        <v/>
      </c>
      <c r="H74" s="19" t="str">
        <f t="shared" si="0"/>
        <v/>
      </c>
      <c r="I74" s="18" t="str">
        <f t="array" ref="I74">IFERROR(INDEX($A$52:$A$291, MATCH(0, COUNTIF($I$51:I73, $A$52:$A$291&amp;"") + IF($A$52:$A$291="",1,0), 0)), "")</f>
        <v/>
      </c>
      <c r="J74" s="1" t="str">
        <f>IF($I74="","",ConcatIf($A$52:$A$91,$I74,$G$52:$G$91," ; "))</f>
        <v/>
      </c>
    </row>
    <row r="75" spans="1:10" x14ac:dyDescent="0.25">
      <c r="A75" s="1" t="str">
        <f>IF(ISBLANK('05-06 Mon'!A26),"",'05-06 Mon'!A26)</f>
        <v/>
      </c>
      <c r="B75" s="1" t="str">
        <f>IF(ISBLANK('05-06 Mon'!B26),"",'05-06 Mon'!B26)</f>
        <v/>
      </c>
      <c r="C75" s="1" t="str">
        <f>IF(ISBLANK('05-06 Mon'!C26),"",'05-06 Mon'!C26)</f>
        <v/>
      </c>
      <c r="D75" s="5" t="str">
        <f>IF(ISBLANK('05-06 Mon'!D26),"",'05-06 Mon'!D26)</f>
        <v/>
      </c>
      <c r="E75" s="5" t="str">
        <f>IF(ISBLANK('05-06 Mon'!E26),"",'05-06 Mon'!E26)</f>
        <v/>
      </c>
      <c r="F75" s="2" t="str">
        <f>IF(ISBLANK('05-06 Mon'!F26),"",'05-06 Mon'!F26)</f>
        <v/>
      </c>
      <c r="G75" s="1" t="str">
        <f>IF(ISBLANK('05-06 Mon'!G26),"",'05-06 Mon'!G26)</f>
        <v/>
      </c>
      <c r="H75" s="19" t="str">
        <f t="shared" si="0"/>
        <v/>
      </c>
      <c r="I75" s="18" t="str">
        <f t="array" ref="I75">IFERROR(INDEX($A$52:$A$291, MATCH(0, COUNTIF($I$51:I74, $A$52:$A$291&amp;"") + IF($A$52:$A$291="",1,0), 0)), "")</f>
        <v/>
      </c>
      <c r="J75" s="1" t="str">
        <f>IF($I75="","",ConcatIf($A$52:$A$91,$I75,$G$52:$G$91," ; "))</f>
        <v/>
      </c>
    </row>
    <row r="76" spans="1:10" x14ac:dyDescent="0.25">
      <c r="A76" s="1" t="str">
        <f>IF(ISBLANK('05-06 Mon'!A27),"",'05-06 Mon'!A27)</f>
        <v/>
      </c>
      <c r="B76" s="1" t="str">
        <f>IF(ISBLANK('05-06 Mon'!B27),"",'05-06 Mon'!B27)</f>
        <v/>
      </c>
      <c r="C76" s="1" t="str">
        <f>IF(ISBLANK('05-06 Mon'!C27),"",'05-06 Mon'!C27)</f>
        <v/>
      </c>
      <c r="D76" s="5" t="str">
        <f>IF(ISBLANK('05-06 Mon'!D27),"",'05-06 Mon'!D27)</f>
        <v/>
      </c>
      <c r="E76" s="5" t="str">
        <f>IF(ISBLANK('05-06 Mon'!E27),"",'05-06 Mon'!E27)</f>
        <v/>
      </c>
      <c r="F76" s="2" t="str">
        <f>IF(ISBLANK('05-06 Mon'!F27),"",'05-06 Mon'!F27)</f>
        <v/>
      </c>
      <c r="G76" s="1" t="str">
        <f>IF(ISBLANK('05-06 Mon'!G27),"",'05-06 Mon'!G27)</f>
        <v/>
      </c>
      <c r="H76" s="19" t="str">
        <f t="shared" si="0"/>
        <v/>
      </c>
      <c r="I76" s="18" t="str">
        <f t="array" ref="I76">IFERROR(INDEX($A$52:$A$291, MATCH(0, COUNTIF($I$51:I75, $A$52:$A$291&amp;"") + IF($A$52:$A$291="",1,0), 0)), "")</f>
        <v/>
      </c>
      <c r="J76" s="1" t="str">
        <f>IF($I76="","",ConcatIf($A$52:$A$91,$I76,$G$52:$G$91," ; "))</f>
        <v/>
      </c>
    </row>
    <row r="77" spans="1:10" x14ac:dyDescent="0.25">
      <c r="A77" s="1" t="str">
        <f>IF(ISBLANK('05-06 Mon'!A28),"",'05-06 Mon'!A28)</f>
        <v/>
      </c>
      <c r="B77" s="1" t="str">
        <f>IF(ISBLANK('05-06 Mon'!B28),"",'05-06 Mon'!B28)</f>
        <v/>
      </c>
      <c r="C77" s="1" t="str">
        <f>IF(ISBLANK('05-06 Mon'!C28),"",'05-06 Mon'!C28)</f>
        <v/>
      </c>
      <c r="D77" s="5" t="str">
        <f>IF(ISBLANK('05-06 Mon'!D28),"",'05-06 Mon'!D28)</f>
        <v/>
      </c>
      <c r="E77" s="5" t="str">
        <f>IF(ISBLANK('05-06 Mon'!E28),"",'05-06 Mon'!E28)</f>
        <v/>
      </c>
      <c r="F77" s="2" t="str">
        <f>IF(ISBLANK('05-06 Mon'!F28),"",'05-06 Mon'!F28)</f>
        <v/>
      </c>
      <c r="G77" s="1" t="str">
        <f>IF(ISBLANK('05-06 Mon'!G28),"",'05-06 Mon'!G28)</f>
        <v/>
      </c>
      <c r="H77" s="19" t="str">
        <f t="shared" si="0"/>
        <v/>
      </c>
      <c r="I77" s="18" t="str">
        <f t="array" ref="I77">IFERROR(INDEX($A$52:$A$291, MATCH(0, COUNTIF($I$51:I76, $A$52:$A$291&amp;"") + IF($A$52:$A$291="",1,0), 0)), "")</f>
        <v/>
      </c>
      <c r="J77" s="1" t="str">
        <f>IF($I77="","",ConcatIf($A$52:$A$91,$I77,$G$52:$G$91," ; "))</f>
        <v/>
      </c>
    </row>
    <row r="78" spans="1:10" x14ac:dyDescent="0.25">
      <c r="A78" s="1" t="str">
        <f>IF(ISBLANK('05-06 Mon'!A29),"",'05-06 Mon'!A29)</f>
        <v/>
      </c>
      <c r="B78" s="1" t="str">
        <f>IF(ISBLANK('05-06 Mon'!B29),"",'05-06 Mon'!B29)</f>
        <v/>
      </c>
      <c r="C78" s="1" t="str">
        <f>IF(ISBLANK('05-06 Mon'!C29),"",'05-06 Mon'!C29)</f>
        <v/>
      </c>
      <c r="D78" s="5" t="str">
        <f>IF(ISBLANK('05-06 Mon'!D29),"",'05-06 Mon'!D29)</f>
        <v/>
      </c>
      <c r="E78" s="5" t="str">
        <f>IF(ISBLANK('05-06 Mon'!E29),"",'05-06 Mon'!E29)</f>
        <v/>
      </c>
      <c r="F78" s="2" t="str">
        <f>IF(ISBLANK('05-06 Mon'!F29),"",'05-06 Mon'!F29)</f>
        <v/>
      </c>
      <c r="G78" s="1" t="str">
        <f>IF(ISBLANK('05-06 Mon'!G29),"",'05-06 Mon'!G29)</f>
        <v/>
      </c>
      <c r="H78" s="19" t="str">
        <f t="shared" si="0"/>
        <v/>
      </c>
      <c r="I78" s="18" t="str">
        <f t="array" ref="I78">IFERROR(INDEX($A$52:$A$291, MATCH(0, COUNTIF($I$51:I77, $A$52:$A$291&amp;"") + IF($A$52:$A$291="",1,0), 0)), "")</f>
        <v/>
      </c>
      <c r="J78" s="1" t="str">
        <f>IF($I78="","",ConcatIf($A$52:$A$91,$I78,$G$52:$G$91," ; "))</f>
        <v/>
      </c>
    </row>
    <row r="79" spans="1:10" x14ac:dyDescent="0.25">
      <c r="A79" s="1" t="str">
        <f>IF(ISBLANK('05-06 Mon'!A30),"",'05-06 Mon'!A30)</f>
        <v/>
      </c>
      <c r="B79" s="1" t="str">
        <f>IF(ISBLANK('05-06 Mon'!B30),"",'05-06 Mon'!B30)</f>
        <v/>
      </c>
      <c r="C79" s="1" t="str">
        <f>IF(ISBLANK('05-06 Mon'!C30),"",'05-06 Mon'!C30)</f>
        <v/>
      </c>
      <c r="D79" s="5" t="str">
        <f>IF(ISBLANK('05-06 Mon'!D30),"",'05-06 Mon'!D30)</f>
        <v/>
      </c>
      <c r="E79" s="5" t="str">
        <f>IF(ISBLANK('05-06 Mon'!E30),"",'05-06 Mon'!E30)</f>
        <v/>
      </c>
      <c r="F79" s="2" t="str">
        <f>IF(ISBLANK('05-06 Mon'!F30),"",'05-06 Mon'!F30)</f>
        <v/>
      </c>
      <c r="G79" s="1" t="str">
        <f>IF(ISBLANK('05-06 Mon'!G30),"",'05-06 Mon'!G30)</f>
        <v/>
      </c>
      <c r="H79" s="19" t="str">
        <f t="shared" si="0"/>
        <v/>
      </c>
      <c r="I79" s="18" t="str">
        <f t="array" ref="I79">IFERROR(INDEX($A$52:$A$291, MATCH(0, COUNTIF($I$51:I78, $A$52:$A$291&amp;"") + IF($A$52:$A$291="",1,0), 0)), "")</f>
        <v/>
      </c>
      <c r="J79" s="1" t="str">
        <f>IF($I79="","",ConcatIf($A$52:$A$91,$I79,$G$52:$G$91," ; "))</f>
        <v/>
      </c>
    </row>
    <row r="80" spans="1:10" x14ac:dyDescent="0.25">
      <c r="A80" s="1" t="str">
        <f>IF(ISBLANK('05-06 Mon'!A31),"",'05-06 Mon'!A31)</f>
        <v/>
      </c>
      <c r="B80" s="1" t="str">
        <f>IF(ISBLANK('05-06 Mon'!B31),"",'05-06 Mon'!B31)</f>
        <v/>
      </c>
      <c r="C80" s="1" t="str">
        <f>IF(ISBLANK('05-06 Mon'!C31),"",'05-06 Mon'!C31)</f>
        <v/>
      </c>
      <c r="D80" s="5" t="str">
        <f>IF(ISBLANK('05-06 Mon'!D31),"",'05-06 Mon'!D31)</f>
        <v/>
      </c>
      <c r="E80" s="5" t="str">
        <f>IF(ISBLANK('05-06 Mon'!E31),"",'05-06 Mon'!E31)</f>
        <v/>
      </c>
      <c r="F80" s="2" t="str">
        <f>IF(ISBLANK('05-06 Mon'!F31),"",'05-06 Mon'!F31)</f>
        <v/>
      </c>
      <c r="G80" s="1" t="str">
        <f>IF(ISBLANK('05-06 Mon'!G31),"",'05-06 Mon'!G31)</f>
        <v/>
      </c>
      <c r="H80" s="19" t="str">
        <f t="shared" si="0"/>
        <v/>
      </c>
      <c r="I80" s="18" t="str">
        <f t="array" ref="I80">IFERROR(INDEX($A$52:$A$291, MATCH(0, COUNTIF($I$51:I79, $A$52:$A$291&amp;"") + IF($A$52:$A$291="",1,0), 0)), "")</f>
        <v/>
      </c>
      <c r="J80" s="1" t="str">
        <f>IF($I80="","",ConcatIf($A$52:$A$91,$I80,$G$52:$G$91," ; "))</f>
        <v/>
      </c>
    </row>
    <row r="81" spans="1:10" x14ac:dyDescent="0.25">
      <c r="A81" s="1" t="str">
        <f>IF(ISBLANK('05-06 Mon'!A32),"",'05-06 Mon'!A32)</f>
        <v/>
      </c>
      <c r="B81" s="1" t="str">
        <f>IF(ISBLANK('05-06 Mon'!B32),"",'05-06 Mon'!B32)</f>
        <v/>
      </c>
      <c r="C81" s="1" t="str">
        <f>IF(ISBLANK('05-06 Mon'!C32),"",'05-06 Mon'!C32)</f>
        <v/>
      </c>
      <c r="D81" s="5" t="str">
        <f>IF(ISBLANK('05-06 Mon'!D32),"",'05-06 Mon'!D32)</f>
        <v/>
      </c>
      <c r="E81" s="5" t="str">
        <f>IF(ISBLANK('05-06 Mon'!E32),"",'05-06 Mon'!E32)</f>
        <v/>
      </c>
      <c r="F81" s="2" t="str">
        <f>IF(ISBLANK('05-06 Mon'!F32),"",'05-06 Mon'!F32)</f>
        <v/>
      </c>
      <c r="G81" s="1" t="str">
        <f>IF(ISBLANK('05-06 Mon'!G32),"",'05-06 Mon'!G32)</f>
        <v/>
      </c>
      <c r="H81" s="19" t="str">
        <f t="shared" si="0"/>
        <v/>
      </c>
      <c r="I81" s="18" t="str">
        <f t="array" ref="I81">IFERROR(INDEX($A$52:$A$291, MATCH(0, COUNTIF($I$51:I80, $A$52:$A$291&amp;"") + IF($A$52:$A$291="",1,0), 0)), "")</f>
        <v/>
      </c>
      <c r="J81" s="1" t="str">
        <f>IF($I81="","",ConcatIf($A$52:$A$91,$I81,$G$52:$G$91," ; "))</f>
        <v/>
      </c>
    </row>
    <row r="82" spans="1:10" x14ac:dyDescent="0.25">
      <c r="A82" s="1" t="str">
        <f>IF(ISBLANK('05-06 Mon'!A33),"",'05-06 Mon'!A33)</f>
        <v/>
      </c>
      <c r="B82" s="1" t="str">
        <f>IF(ISBLANK('05-06 Mon'!B33),"",'05-06 Mon'!B33)</f>
        <v/>
      </c>
      <c r="C82" s="1" t="str">
        <f>IF(ISBLANK('05-06 Mon'!C33),"",'05-06 Mon'!C33)</f>
        <v/>
      </c>
      <c r="D82" s="5" t="str">
        <f>IF(ISBLANK('05-06 Mon'!D33),"",'05-06 Mon'!D33)</f>
        <v/>
      </c>
      <c r="E82" s="5" t="str">
        <f>IF(ISBLANK('05-06 Mon'!E33),"",'05-06 Mon'!E33)</f>
        <v/>
      </c>
      <c r="F82" s="2" t="str">
        <f>IF(ISBLANK('05-06 Mon'!F33),"",'05-06 Mon'!F33)</f>
        <v/>
      </c>
      <c r="G82" s="1" t="str">
        <f>IF(ISBLANK('05-06 Mon'!G33),"",'05-06 Mon'!G33)</f>
        <v/>
      </c>
      <c r="H82" s="19" t="str">
        <f t="shared" si="0"/>
        <v/>
      </c>
      <c r="I82" s="18" t="str">
        <f t="array" ref="I82">IFERROR(INDEX($A$52:$A$291, MATCH(0, COUNTIF($I$51:I81, $A$52:$A$291&amp;"") + IF($A$52:$A$291="",1,0), 0)), "")</f>
        <v/>
      </c>
      <c r="J82" s="1" t="str">
        <f>IF($I82="","",ConcatIf($A$52:$A$91,$I82,$G$52:$G$91," ; "))</f>
        <v/>
      </c>
    </row>
    <row r="83" spans="1:10" x14ac:dyDescent="0.25">
      <c r="A83" s="1" t="str">
        <f>IF(ISBLANK('05-06 Mon'!A34),"",'05-06 Mon'!A34)</f>
        <v/>
      </c>
      <c r="B83" s="1" t="str">
        <f>IF(ISBLANK('05-06 Mon'!B34),"",'05-06 Mon'!B34)</f>
        <v/>
      </c>
      <c r="C83" s="1" t="str">
        <f>IF(ISBLANK('05-06 Mon'!C34),"",'05-06 Mon'!C34)</f>
        <v/>
      </c>
      <c r="D83" s="5" t="str">
        <f>IF(ISBLANK('05-06 Mon'!D34),"",'05-06 Mon'!D34)</f>
        <v/>
      </c>
      <c r="E83" s="5" t="str">
        <f>IF(ISBLANK('05-06 Mon'!E34),"",'05-06 Mon'!E34)</f>
        <v/>
      </c>
      <c r="F83" s="2" t="str">
        <f>IF(ISBLANK('05-06 Mon'!F34),"",'05-06 Mon'!F34)</f>
        <v/>
      </c>
      <c r="G83" s="1" t="str">
        <f>IF(ISBLANK('05-06 Mon'!G34),"",'05-06 Mon'!G34)</f>
        <v/>
      </c>
      <c r="H83" s="19" t="str">
        <f t="shared" si="0"/>
        <v/>
      </c>
      <c r="I83" s="18" t="str">
        <f t="array" ref="I83">IFERROR(INDEX($A$52:$A$291, MATCH(0, COUNTIF($I$51:I82, $A$52:$A$291&amp;"") + IF($A$52:$A$291="",1,0), 0)), "")</f>
        <v/>
      </c>
      <c r="J83" s="1" t="str">
        <f>IF($I83="","",ConcatIf($A$52:$A$91,$I83,$G$52:$G$91," ; "))</f>
        <v/>
      </c>
    </row>
    <row r="84" spans="1:10" x14ac:dyDescent="0.25">
      <c r="A84" s="1" t="str">
        <f>IF(ISBLANK('05-06 Mon'!A35),"",'05-06 Mon'!A35)</f>
        <v/>
      </c>
      <c r="B84" s="1" t="str">
        <f>IF(ISBLANK('05-06 Mon'!B35),"",'05-06 Mon'!B35)</f>
        <v/>
      </c>
      <c r="C84" s="1" t="str">
        <f>IF(ISBLANK('05-06 Mon'!C35),"",'05-06 Mon'!C35)</f>
        <v/>
      </c>
      <c r="D84" s="5" t="str">
        <f>IF(ISBLANK('05-06 Mon'!D35),"",'05-06 Mon'!D35)</f>
        <v/>
      </c>
      <c r="E84" s="5" t="str">
        <f>IF(ISBLANK('05-06 Mon'!E35),"",'05-06 Mon'!E35)</f>
        <v/>
      </c>
      <c r="F84" s="2" t="str">
        <f>IF(ISBLANK('05-06 Mon'!F35),"",'05-06 Mon'!F35)</f>
        <v/>
      </c>
      <c r="G84" s="1" t="str">
        <f>IF(ISBLANK('05-06 Mon'!G35),"",'05-06 Mon'!G35)</f>
        <v/>
      </c>
      <c r="H84" s="19" t="str">
        <f t="shared" si="0"/>
        <v/>
      </c>
      <c r="I84" s="18" t="str">
        <f t="array" ref="I84">IFERROR(INDEX($A$52:$A$291, MATCH(0, COUNTIF($I$51:I83, $A$52:$A$291&amp;"") + IF($A$52:$A$291="",1,0), 0)), "")</f>
        <v/>
      </c>
      <c r="J84" s="1" t="str">
        <f>IF($I84="","",ConcatIf($A$52:$A$91,$I84,$G$52:$G$91," ; "))</f>
        <v/>
      </c>
    </row>
    <row r="85" spans="1:10" x14ac:dyDescent="0.25">
      <c r="A85" s="1" t="str">
        <f>IF(ISBLANK('05-06 Mon'!A36),"",'05-06 Mon'!A36)</f>
        <v/>
      </c>
      <c r="B85" s="1" t="str">
        <f>IF(ISBLANK('05-06 Mon'!B36),"",'05-06 Mon'!B36)</f>
        <v/>
      </c>
      <c r="C85" s="1" t="str">
        <f>IF(ISBLANK('05-06 Mon'!C36),"",'05-06 Mon'!C36)</f>
        <v/>
      </c>
      <c r="D85" s="5" t="str">
        <f>IF(ISBLANK('05-06 Mon'!D36),"",'05-06 Mon'!D36)</f>
        <v/>
      </c>
      <c r="E85" s="5" t="str">
        <f>IF(ISBLANK('05-06 Mon'!E36),"",'05-06 Mon'!E36)</f>
        <v/>
      </c>
      <c r="F85" s="2" t="str">
        <f>IF(ISBLANK('05-06 Mon'!F36),"",'05-06 Mon'!F36)</f>
        <v/>
      </c>
      <c r="G85" s="1" t="str">
        <f>IF(ISBLANK('05-06 Mon'!G36),"",'05-06 Mon'!G36)</f>
        <v/>
      </c>
      <c r="H85" s="19" t="str">
        <f t="shared" si="0"/>
        <v/>
      </c>
      <c r="I85" s="18" t="str">
        <f t="array" ref="I85">IFERROR(INDEX($A$52:$A$291, MATCH(0, COUNTIF($I$51:I84, $A$52:$A$291&amp;"") + IF($A$52:$A$291="",1,0), 0)), "")</f>
        <v/>
      </c>
      <c r="J85" s="1" t="str">
        <f>IF($I85="","",ConcatIf($A$52:$A$91,$I85,$G$52:$G$91," ; "))</f>
        <v/>
      </c>
    </row>
    <row r="86" spans="1:10" x14ac:dyDescent="0.25">
      <c r="A86" s="1" t="str">
        <f>IF(ISBLANK('05-06 Mon'!A37),"",'05-06 Mon'!A37)</f>
        <v/>
      </c>
      <c r="B86" s="1" t="str">
        <f>IF(ISBLANK('05-06 Mon'!B37),"",'05-06 Mon'!B37)</f>
        <v/>
      </c>
      <c r="C86" s="1" t="str">
        <f>IF(ISBLANK('05-06 Mon'!C37),"",'05-06 Mon'!C37)</f>
        <v/>
      </c>
      <c r="D86" s="5" t="str">
        <f>IF(ISBLANK('05-06 Mon'!D37),"",'05-06 Mon'!D37)</f>
        <v/>
      </c>
      <c r="E86" s="5" t="str">
        <f>IF(ISBLANK('05-06 Mon'!E37),"",'05-06 Mon'!E37)</f>
        <v/>
      </c>
      <c r="F86" s="2" t="str">
        <f>IF(ISBLANK('05-06 Mon'!F37),"",'05-06 Mon'!F37)</f>
        <v/>
      </c>
      <c r="G86" s="1" t="str">
        <f>IF(ISBLANK('05-06 Mon'!G37),"",'05-06 Mon'!G37)</f>
        <v/>
      </c>
      <c r="H86" s="19" t="str">
        <f t="shared" si="0"/>
        <v/>
      </c>
      <c r="I86" s="18" t="str">
        <f t="array" ref="I86">IFERROR(INDEX($A$52:$A$291, MATCH(0, COUNTIF($I$51:I85, $A$52:$A$291&amp;"") + IF($A$52:$A$291="",1,0), 0)), "")</f>
        <v/>
      </c>
      <c r="J86" s="1" t="str">
        <f>IF($I86="","",ConcatIf($A$52:$A$91,$I86,$G$52:$G$91," ; "))</f>
        <v/>
      </c>
    </row>
    <row r="87" spans="1:10" x14ac:dyDescent="0.25">
      <c r="A87" s="1" t="str">
        <f>IF(ISBLANK('05-06 Mon'!A38),"",'05-06 Mon'!A38)</f>
        <v/>
      </c>
      <c r="B87" s="1" t="str">
        <f>IF(ISBLANK('05-06 Mon'!B38),"",'05-06 Mon'!B38)</f>
        <v/>
      </c>
      <c r="C87" s="1" t="str">
        <f>IF(ISBLANK('05-06 Mon'!C38),"",'05-06 Mon'!C38)</f>
        <v/>
      </c>
      <c r="D87" s="5" t="str">
        <f>IF(ISBLANK('05-06 Mon'!D38),"",'05-06 Mon'!D38)</f>
        <v/>
      </c>
      <c r="E87" s="5" t="str">
        <f>IF(ISBLANK('05-06 Mon'!E38),"",'05-06 Mon'!E38)</f>
        <v/>
      </c>
      <c r="F87" s="2" t="str">
        <f>IF(ISBLANK('05-06 Mon'!F38),"",'05-06 Mon'!F38)</f>
        <v/>
      </c>
      <c r="G87" s="1" t="str">
        <f>IF(ISBLANK('05-06 Mon'!G38),"",'05-06 Mon'!G38)</f>
        <v/>
      </c>
      <c r="H87" s="19" t="str">
        <f t="shared" si="0"/>
        <v/>
      </c>
      <c r="I87" s="18" t="str">
        <f t="array" ref="I87">IFERROR(INDEX($A$52:$A$291, MATCH(0, COUNTIF($I$51:I86, $A$52:$A$291&amp;"") + IF($A$52:$A$291="",1,0), 0)), "")</f>
        <v/>
      </c>
      <c r="J87" s="1" t="str">
        <f>IF($I87="","",ConcatIf($A$52:$A$91,$I87,$G$52:$G$91," ; "))</f>
        <v/>
      </c>
    </row>
    <row r="88" spans="1:10" x14ac:dyDescent="0.25">
      <c r="A88" s="1" t="str">
        <f>IF(ISBLANK('05-06 Mon'!A39),"",'05-06 Mon'!A39)</f>
        <v/>
      </c>
      <c r="B88" s="1" t="str">
        <f>IF(ISBLANK('05-06 Mon'!B39),"",'05-06 Mon'!B39)</f>
        <v/>
      </c>
      <c r="C88" s="1" t="str">
        <f>IF(ISBLANK('05-06 Mon'!C39),"",'05-06 Mon'!C39)</f>
        <v/>
      </c>
      <c r="D88" s="5" t="str">
        <f>IF(ISBLANK('05-06 Mon'!D39),"",'05-06 Mon'!D39)</f>
        <v/>
      </c>
      <c r="E88" s="5" t="str">
        <f>IF(ISBLANK('05-06 Mon'!E39),"",'05-06 Mon'!E39)</f>
        <v/>
      </c>
      <c r="F88" s="2" t="str">
        <f>IF(ISBLANK('05-06 Mon'!F39),"",'05-06 Mon'!F39)</f>
        <v/>
      </c>
      <c r="G88" s="1" t="str">
        <f>IF(ISBLANK('05-06 Mon'!G39),"",'05-06 Mon'!G39)</f>
        <v/>
      </c>
      <c r="H88" s="19" t="str">
        <f t="shared" si="0"/>
        <v/>
      </c>
      <c r="I88" s="18" t="str">
        <f t="array" ref="I88">IFERROR(INDEX($A$52:$A$291, MATCH(0, COUNTIF($I$51:I87, $A$52:$A$291&amp;"") + IF($A$52:$A$291="",1,0), 0)), "")</f>
        <v/>
      </c>
      <c r="J88" s="1" t="str">
        <f>IF($I88="","",ConcatIf($A$52:$A$91,$I88,$G$52:$G$91," ; "))</f>
        <v/>
      </c>
    </row>
    <row r="89" spans="1:10" x14ac:dyDescent="0.25">
      <c r="A89" s="1" t="str">
        <f>IF(ISBLANK('05-06 Mon'!A40),"",'05-06 Mon'!A40)</f>
        <v/>
      </c>
      <c r="B89" s="1" t="str">
        <f>IF(ISBLANK('05-06 Mon'!B40),"",'05-06 Mon'!B40)</f>
        <v/>
      </c>
      <c r="C89" s="1" t="str">
        <f>IF(ISBLANK('05-06 Mon'!C40),"",'05-06 Mon'!C40)</f>
        <v/>
      </c>
      <c r="D89" s="5" t="str">
        <f>IF(ISBLANK('05-06 Mon'!D40),"",'05-06 Mon'!D40)</f>
        <v/>
      </c>
      <c r="E89" s="5" t="str">
        <f>IF(ISBLANK('05-06 Mon'!E40),"",'05-06 Mon'!E40)</f>
        <v/>
      </c>
      <c r="F89" s="2" t="str">
        <f>IF(ISBLANK('05-06 Mon'!F40),"",'05-06 Mon'!F40)</f>
        <v/>
      </c>
      <c r="G89" s="1" t="str">
        <f>IF(ISBLANK('05-06 Mon'!G40),"",'05-06 Mon'!G40)</f>
        <v/>
      </c>
      <c r="H89" s="19" t="str">
        <f t="shared" si="0"/>
        <v/>
      </c>
      <c r="I89" s="18" t="str">
        <f t="array" ref="I89">IFERROR(INDEX($A$52:$A$291, MATCH(0, COUNTIF($I$51:I88, $A$52:$A$291&amp;"") + IF($A$52:$A$291="",1,0), 0)), "")</f>
        <v/>
      </c>
      <c r="J89" s="1" t="str">
        <f>IF($I89="","",ConcatIf($A$52:$A$91,$I89,$G$52:$G$91," ; "))</f>
        <v/>
      </c>
    </row>
    <row r="90" spans="1:10" x14ac:dyDescent="0.25">
      <c r="A90" s="1" t="str">
        <f>IF(ISBLANK('05-06 Mon'!A41),"",'05-06 Mon'!A41)</f>
        <v/>
      </c>
      <c r="B90" s="1" t="str">
        <f>IF(ISBLANK('05-06 Mon'!B41),"",'05-06 Mon'!B41)</f>
        <v/>
      </c>
      <c r="C90" s="1" t="str">
        <f>IF(ISBLANK('05-06 Mon'!C41),"",'05-06 Mon'!C41)</f>
        <v/>
      </c>
      <c r="D90" s="5" t="str">
        <f>IF(ISBLANK('05-06 Mon'!D41),"",'05-06 Mon'!D41)</f>
        <v/>
      </c>
      <c r="E90" s="5" t="str">
        <f>IF(ISBLANK('05-06 Mon'!E41),"",'05-06 Mon'!E41)</f>
        <v/>
      </c>
      <c r="F90" s="2" t="str">
        <f>IF(ISBLANK('05-06 Mon'!F41),"",'05-06 Mon'!F41)</f>
        <v/>
      </c>
      <c r="G90" s="1" t="str">
        <f>IF(ISBLANK('05-06 Mon'!G41),"",'05-06 Mon'!G41)</f>
        <v/>
      </c>
    </row>
    <row r="91" spans="1:10" x14ac:dyDescent="0.25">
      <c r="A91" s="1" t="str">
        <f>IF(ISBLANK('05-06 Mon'!A42),"",'05-06 Mon'!A42)</f>
        <v/>
      </c>
      <c r="B91" s="1" t="str">
        <f>IF(ISBLANK('05-06 Mon'!B42),"",'05-06 Mon'!B42)</f>
        <v/>
      </c>
      <c r="C91" s="1" t="str">
        <f>IF(ISBLANK('05-06 Mon'!C42),"",'05-06 Mon'!C42)</f>
        <v/>
      </c>
      <c r="D91" s="5" t="str">
        <f>IF(ISBLANK('05-06 Mon'!D42),"",'05-06 Mon'!D42)</f>
        <v/>
      </c>
      <c r="E91" s="5" t="str">
        <f>IF(ISBLANK('05-06 Mon'!E42),"",'05-06 Mon'!E42)</f>
        <v/>
      </c>
      <c r="F91" s="2" t="str">
        <f>IF(ISBLANK('05-06 Mon'!F42),"",'05-06 Mon'!F42)</f>
        <v/>
      </c>
      <c r="G91" s="1" t="str">
        <f>IF(ISBLANK('05-06 Mon'!G42),"",'05-06 Mon'!G42)</f>
        <v/>
      </c>
    </row>
    <row r="92" spans="1:10" x14ac:dyDescent="0.25">
      <c r="A92" s="1" t="str">
        <f>IF(ISBLANK('05-07 Tues'!A3),"",'05-07 Tues'!A3)</f>
        <v/>
      </c>
      <c r="B92" s="1" t="str">
        <f>IF(ISBLANK('05-07 Tues'!B3),"",'05-07 Tues'!B3)</f>
        <v/>
      </c>
      <c r="C92" s="1" t="str">
        <f>IF(ISBLANK('05-07 Tues'!C3),"",'05-07 Tues'!C3)</f>
        <v/>
      </c>
      <c r="D92" s="5" t="str">
        <f>IF(ISBLANK('05-07 Tues'!D3),"",'05-07 Tues'!D3)</f>
        <v/>
      </c>
      <c r="E92" s="5" t="str">
        <f>IF(ISBLANK('05-07 Tues'!E3),"",'05-07 Tues'!E3)</f>
        <v/>
      </c>
      <c r="F92" s="3" t="str">
        <f>IF(ISBLANK('05-07 Tues'!F3),"",'05-07 Tues'!F3)</f>
        <v/>
      </c>
      <c r="G92" s="1" t="str">
        <f>IF(ISBLANK('05-07 Tues'!G3),"",'05-07 Tues'!G3)</f>
        <v/>
      </c>
    </row>
    <row r="93" spans="1:10" x14ac:dyDescent="0.25">
      <c r="A93" s="1" t="str">
        <f>IF(ISBLANK('05-07 Tues'!A4),"",'05-07 Tues'!A4)</f>
        <v/>
      </c>
      <c r="B93" s="1" t="str">
        <f>IF(ISBLANK('05-07 Tues'!B4),"",'05-07 Tues'!B4)</f>
        <v/>
      </c>
      <c r="C93" s="1" t="str">
        <f>IF(ISBLANK('05-07 Tues'!C4),"",'05-07 Tues'!C4)</f>
        <v/>
      </c>
      <c r="D93" s="5" t="str">
        <f>IF(ISBLANK('05-07 Tues'!D4),"",'05-07 Tues'!D4)</f>
        <v/>
      </c>
      <c r="E93" s="5" t="str">
        <f>IF(ISBLANK('05-07 Tues'!E4),"",'05-07 Tues'!E4)</f>
        <v/>
      </c>
      <c r="F93" s="3" t="str">
        <f>IF(ISBLANK('05-07 Tues'!F4),"",'05-07 Tues'!F4)</f>
        <v/>
      </c>
      <c r="G93" s="1" t="str">
        <f>IF(ISBLANK('05-07 Tues'!G4),"",'05-07 Tues'!G4)</f>
        <v/>
      </c>
    </row>
    <row r="94" spans="1:10" x14ac:dyDescent="0.25">
      <c r="A94" s="1" t="str">
        <f>IF(ISBLANK('05-07 Tues'!A5),"",'05-07 Tues'!A5)</f>
        <v/>
      </c>
      <c r="B94" s="1" t="str">
        <f>IF(ISBLANK('05-07 Tues'!B5),"",'05-07 Tues'!B5)</f>
        <v/>
      </c>
      <c r="C94" s="1" t="str">
        <f>IF(ISBLANK('05-07 Tues'!C5),"",'05-07 Tues'!C5)</f>
        <v/>
      </c>
      <c r="D94" s="5" t="str">
        <f>IF(ISBLANK('05-07 Tues'!D5),"",'05-07 Tues'!D5)</f>
        <v/>
      </c>
      <c r="E94" s="5" t="str">
        <f>IF(ISBLANK('05-07 Tues'!E5),"",'05-07 Tues'!E5)</f>
        <v/>
      </c>
      <c r="F94" s="3" t="str">
        <f>IF(ISBLANK('05-07 Tues'!F5),"",'05-07 Tues'!F5)</f>
        <v/>
      </c>
      <c r="G94" s="1" t="str">
        <f>IF(ISBLANK('05-07 Tues'!G5),"",'05-07 Tues'!G5)</f>
        <v/>
      </c>
    </row>
    <row r="95" spans="1:10" x14ac:dyDescent="0.25">
      <c r="A95" s="1" t="str">
        <f>IF(ISBLANK('05-07 Tues'!A6),"",'05-07 Tues'!A6)</f>
        <v/>
      </c>
      <c r="B95" s="1" t="str">
        <f>IF(ISBLANK('05-07 Tues'!B6),"",'05-07 Tues'!B6)</f>
        <v/>
      </c>
      <c r="C95" s="1" t="str">
        <f>IF(ISBLANK('05-07 Tues'!C6),"",'05-07 Tues'!C6)</f>
        <v/>
      </c>
      <c r="D95" s="5" t="str">
        <f>IF(ISBLANK('05-07 Tues'!D6),"",'05-07 Tues'!D6)</f>
        <v/>
      </c>
      <c r="E95" s="5" t="str">
        <f>IF(ISBLANK('05-07 Tues'!E6),"",'05-07 Tues'!E6)</f>
        <v/>
      </c>
      <c r="F95" s="3" t="str">
        <f>IF(ISBLANK('05-07 Tues'!F6),"",'05-07 Tues'!F6)</f>
        <v/>
      </c>
      <c r="G95" s="1" t="str">
        <f>IF(ISBLANK('05-07 Tues'!G6),"",'05-07 Tues'!G6)</f>
        <v/>
      </c>
    </row>
    <row r="96" spans="1:10" x14ac:dyDescent="0.25">
      <c r="A96" s="1" t="str">
        <f>IF(ISBLANK('05-07 Tues'!A7),"",'05-07 Tues'!A7)</f>
        <v/>
      </c>
      <c r="B96" s="1" t="str">
        <f>IF(ISBLANK('05-07 Tues'!B7),"",'05-07 Tues'!B7)</f>
        <v/>
      </c>
      <c r="C96" s="1" t="str">
        <f>IF(ISBLANK('05-07 Tues'!C7),"",'05-07 Tues'!C7)</f>
        <v/>
      </c>
      <c r="D96" s="5" t="str">
        <f>IF(ISBLANK('05-07 Tues'!D7),"",'05-07 Tues'!D7)</f>
        <v/>
      </c>
      <c r="E96" s="5" t="str">
        <f>IF(ISBLANK('05-07 Tues'!E7),"",'05-07 Tues'!E7)</f>
        <v/>
      </c>
      <c r="F96" s="3" t="str">
        <f>IF(ISBLANK('05-07 Tues'!F7),"",'05-07 Tues'!F7)</f>
        <v/>
      </c>
      <c r="G96" s="1" t="str">
        <f>IF(ISBLANK('05-07 Tues'!G7),"",'05-07 Tues'!G7)</f>
        <v/>
      </c>
    </row>
    <row r="97" spans="1:7" x14ac:dyDescent="0.25">
      <c r="A97" s="1" t="str">
        <f>IF(ISBLANK('05-07 Tues'!A8),"",'05-07 Tues'!A8)</f>
        <v/>
      </c>
      <c r="B97" s="1" t="str">
        <f>IF(ISBLANK('05-07 Tues'!B8),"",'05-07 Tues'!B8)</f>
        <v/>
      </c>
      <c r="C97" s="1" t="str">
        <f>IF(ISBLANK('05-07 Tues'!C8),"",'05-07 Tues'!C8)</f>
        <v/>
      </c>
      <c r="D97" s="5" t="str">
        <f>IF(ISBLANK('05-07 Tues'!D8),"",'05-07 Tues'!D8)</f>
        <v/>
      </c>
      <c r="E97" s="5" t="str">
        <f>IF(ISBLANK('05-07 Tues'!E8),"",'05-07 Tues'!E8)</f>
        <v/>
      </c>
      <c r="F97" s="3" t="str">
        <f>IF(ISBLANK('05-07 Tues'!F8),"",'05-07 Tues'!F8)</f>
        <v/>
      </c>
      <c r="G97" s="1" t="str">
        <f>IF(ISBLANK('05-07 Tues'!G8),"",'05-07 Tues'!G8)</f>
        <v/>
      </c>
    </row>
    <row r="98" spans="1:7" x14ac:dyDescent="0.25">
      <c r="A98" s="1" t="str">
        <f>IF(ISBLANK('05-07 Tues'!A9),"",'05-07 Tues'!A9)</f>
        <v/>
      </c>
      <c r="B98" s="1" t="str">
        <f>IF(ISBLANK('05-07 Tues'!B9),"",'05-07 Tues'!B9)</f>
        <v/>
      </c>
      <c r="C98" s="1" t="str">
        <f>IF(ISBLANK('05-07 Tues'!C9),"",'05-07 Tues'!C9)</f>
        <v/>
      </c>
      <c r="D98" s="5" t="str">
        <f>IF(ISBLANK('05-07 Tues'!D9),"",'05-07 Tues'!D9)</f>
        <v/>
      </c>
      <c r="E98" s="5" t="str">
        <f>IF(ISBLANK('05-07 Tues'!E9),"",'05-07 Tues'!E9)</f>
        <v/>
      </c>
      <c r="F98" s="3" t="str">
        <f>IF(ISBLANK('05-07 Tues'!F9),"",'05-07 Tues'!F9)</f>
        <v/>
      </c>
      <c r="G98" s="1" t="str">
        <f>IF(ISBLANK('05-07 Tues'!G9),"",'05-07 Tues'!G9)</f>
        <v/>
      </c>
    </row>
    <row r="99" spans="1:7" x14ac:dyDescent="0.25">
      <c r="A99" s="1" t="str">
        <f>IF(ISBLANK('05-07 Tues'!A10),"",'05-07 Tues'!A10)</f>
        <v/>
      </c>
      <c r="B99" s="1" t="str">
        <f>IF(ISBLANK('05-07 Tues'!B10),"",'05-07 Tues'!B10)</f>
        <v/>
      </c>
      <c r="C99" s="1" t="str">
        <f>IF(ISBLANK('05-07 Tues'!C10),"",'05-07 Tues'!C10)</f>
        <v/>
      </c>
      <c r="D99" s="5" t="str">
        <f>IF(ISBLANK('05-07 Tues'!D10),"",'05-07 Tues'!D10)</f>
        <v/>
      </c>
      <c r="E99" s="5" t="str">
        <f>IF(ISBLANK('05-07 Tues'!E10),"",'05-07 Tues'!E10)</f>
        <v/>
      </c>
      <c r="F99" s="3" t="str">
        <f>IF(ISBLANK('05-07 Tues'!F10),"",'05-07 Tues'!F10)</f>
        <v/>
      </c>
      <c r="G99" s="1" t="str">
        <f>IF(ISBLANK('05-07 Tues'!G10),"",'05-07 Tues'!G10)</f>
        <v/>
      </c>
    </row>
    <row r="100" spans="1:7" x14ac:dyDescent="0.25">
      <c r="A100" s="1" t="str">
        <f>IF(ISBLANK('05-07 Tues'!A11),"",'05-07 Tues'!A11)</f>
        <v/>
      </c>
      <c r="B100" s="1" t="str">
        <f>IF(ISBLANK('05-07 Tues'!B11),"",'05-07 Tues'!B11)</f>
        <v/>
      </c>
      <c r="C100" s="1" t="str">
        <f>IF(ISBLANK('05-07 Tues'!C11),"",'05-07 Tues'!C11)</f>
        <v/>
      </c>
      <c r="D100" s="5" t="str">
        <f>IF(ISBLANK('05-07 Tues'!D11),"",'05-07 Tues'!D11)</f>
        <v/>
      </c>
      <c r="E100" s="5" t="str">
        <f>IF(ISBLANK('05-07 Tues'!E11),"",'05-07 Tues'!E11)</f>
        <v/>
      </c>
      <c r="F100" s="3" t="str">
        <f>IF(ISBLANK('05-07 Tues'!F11),"",'05-07 Tues'!F11)</f>
        <v/>
      </c>
      <c r="G100" s="1" t="str">
        <f>IF(ISBLANK('05-07 Tues'!G11),"",'05-07 Tues'!G11)</f>
        <v/>
      </c>
    </row>
    <row r="101" spans="1:7" x14ac:dyDescent="0.25">
      <c r="A101" s="1" t="str">
        <f>IF(ISBLANK('05-07 Tues'!A12),"",'05-07 Tues'!A12)</f>
        <v/>
      </c>
      <c r="B101" s="1" t="str">
        <f>IF(ISBLANK('05-07 Tues'!B12),"",'05-07 Tues'!B12)</f>
        <v/>
      </c>
      <c r="C101" s="1" t="str">
        <f>IF(ISBLANK('05-07 Tues'!C12),"",'05-07 Tues'!C12)</f>
        <v/>
      </c>
      <c r="D101" s="5" t="str">
        <f>IF(ISBLANK('05-07 Tues'!D12),"",'05-07 Tues'!D12)</f>
        <v/>
      </c>
      <c r="E101" s="5" t="str">
        <f>IF(ISBLANK('05-07 Tues'!E12),"",'05-07 Tues'!E12)</f>
        <v/>
      </c>
      <c r="F101" s="3" t="str">
        <f>IF(ISBLANK('05-07 Tues'!F12),"",'05-07 Tues'!F12)</f>
        <v/>
      </c>
      <c r="G101" s="1" t="str">
        <f>IF(ISBLANK('05-07 Tues'!G12),"",'05-07 Tues'!G12)</f>
        <v/>
      </c>
    </row>
    <row r="102" spans="1:7" x14ac:dyDescent="0.25">
      <c r="A102" s="1" t="str">
        <f>IF(ISBLANK('05-07 Tues'!A13),"",'05-07 Tues'!A13)</f>
        <v/>
      </c>
      <c r="B102" s="1" t="str">
        <f>IF(ISBLANK('05-07 Tues'!B13),"",'05-07 Tues'!B13)</f>
        <v/>
      </c>
      <c r="C102" s="1" t="str">
        <f>IF(ISBLANK('05-07 Tues'!C13),"",'05-07 Tues'!C13)</f>
        <v/>
      </c>
      <c r="D102" s="5" t="str">
        <f>IF(ISBLANK('05-07 Tues'!D13),"",'05-07 Tues'!D13)</f>
        <v/>
      </c>
      <c r="E102" s="5" t="str">
        <f>IF(ISBLANK('05-07 Tues'!E13),"",'05-07 Tues'!E13)</f>
        <v/>
      </c>
      <c r="F102" s="3" t="str">
        <f>IF(ISBLANK('05-07 Tues'!F13),"",'05-07 Tues'!F13)</f>
        <v/>
      </c>
      <c r="G102" s="1" t="str">
        <f>IF(ISBLANK('05-07 Tues'!G13),"",'05-07 Tues'!G13)</f>
        <v/>
      </c>
    </row>
    <row r="103" spans="1:7" x14ac:dyDescent="0.25">
      <c r="A103" s="1" t="str">
        <f>IF(ISBLANK('05-07 Tues'!A14),"",'05-07 Tues'!A14)</f>
        <v/>
      </c>
      <c r="B103" s="1" t="str">
        <f>IF(ISBLANK('05-07 Tues'!B14),"",'05-07 Tues'!B14)</f>
        <v/>
      </c>
      <c r="C103" s="1" t="str">
        <f>IF(ISBLANK('05-07 Tues'!C14),"",'05-07 Tues'!C14)</f>
        <v/>
      </c>
      <c r="D103" s="5" t="str">
        <f>IF(ISBLANK('05-07 Tues'!D14),"",'05-07 Tues'!D14)</f>
        <v/>
      </c>
      <c r="E103" s="5" t="str">
        <f>IF(ISBLANK('05-07 Tues'!E14),"",'05-07 Tues'!E14)</f>
        <v/>
      </c>
      <c r="F103" s="3" t="str">
        <f>IF(ISBLANK('05-07 Tues'!F14),"",'05-07 Tues'!F14)</f>
        <v/>
      </c>
      <c r="G103" s="1" t="str">
        <f>IF(ISBLANK('05-07 Tues'!G14),"",'05-07 Tues'!G14)</f>
        <v/>
      </c>
    </row>
    <row r="104" spans="1:7" x14ac:dyDescent="0.25">
      <c r="A104" s="1" t="str">
        <f>IF(ISBLANK('05-07 Tues'!A15),"",'05-07 Tues'!A15)</f>
        <v/>
      </c>
      <c r="B104" s="1" t="str">
        <f>IF(ISBLANK('05-07 Tues'!B15),"",'05-07 Tues'!B15)</f>
        <v/>
      </c>
      <c r="C104" s="1" t="str">
        <f>IF(ISBLANK('05-07 Tues'!C15),"",'05-07 Tues'!C15)</f>
        <v/>
      </c>
      <c r="D104" s="5" t="str">
        <f>IF(ISBLANK('05-07 Tues'!D15),"",'05-07 Tues'!D15)</f>
        <v/>
      </c>
      <c r="E104" s="5" t="str">
        <f>IF(ISBLANK('05-07 Tues'!E15),"",'05-07 Tues'!E15)</f>
        <v/>
      </c>
      <c r="F104" s="3" t="str">
        <f>IF(ISBLANK('05-07 Tues'!F15),"",'05-07 Tues'!F15)</f>
        <v/>
      </c>
      <c r="G104" s="1" t="str">
        <f>IF(ISBLANK('05-07 Tues'!G15),"",'05-07 Tues'!G15)</f>
        <v/>
      </c>
    </row>
    <row r="105" spans="1:7" x14ac:dyDescent="0.25">
      <c r="A105" s="1" t="str">
        <f>IF(ISBLANK('05-07 Tues'!A16),"",'05-07 Tues'!A16)</f>
        <v/>
      </c>
      <c r="B105" s="1" t="str">
        <f>IF(ISBLANK('05-07 Tues'!B16),"",'05-07 Tues'!B16)</f>
        <v/>
      </c>
      <c r="C105" s="1" t="str">
        <f>IF(ISBLANK('05-07 Tues'!C16),"",'05-07 Tues'!C16)</f>
        <v/>
      </c>
      <c r="D105" s="5" t="str">
        <f>IF(ISBLANK('05-07 Tues'!D16),"",'05-07 Tues'!D16)</f>
        <v/>
      </c>
      <c r="E105" s="5" t="str">
        <f>IF(ISBLANK('05-07 Tues'!E16),"",'05-07 Tues'!E16)</f>
        <v/>
      </c>
      <c r="F105" s="3" t="str">
        <f>IF(ISBLANK('05-07 Tues'!F16),"",'05-07 Tues'!F16)</f>
        <v/>
      </c>
      <c r="G105" s="1" t="str">
        <f>IF(ISBLANK('05-07 Tues'!G16),"",'05-07 Tues'!G16)</f>
        <v/>
      </c>
    </row>
    <row r="106" spans="1:7" x14ac:dyDescent="0.25">
      <c r="A106" s="1" t="str">
        <f>IF(ISBLANK('05-07 Tues'!A17),"",'05-07 Tues'!A17)</f>
        <v/>
      </c>
      <c r="B106" s="1" t="str">
        <f>IF(ISBLANK('05-07 Tues'!B17),"",'05-07 Tues'!B17)</f>
        <v/>
      </c>
      <c r="C106" s="1" t="str">
        <f>IF(ISBLANK('05-07 Tues'!C17),"",'05-07 Tues'!C17)</f>
        <v/>
      </c>
      <c r="D106" s="5" t="str">
        <f>IF(ISBLANK('05-07 Tues'!D17),"",'05-07 Tues'!D17)</f>
        <v/>
      </c>
      <c r="E106" s="5" t="str">
        <f>IF(ISBLANK('05-07 Tues'!E17),"",'05-07 Tues'!E17)</f>
        <v/>
      </c>
      <c r="F106" s="3" t="str">
        <f>IF(ISBLANK('05-07 Tues'!F17),"",'05-07 Tues'!F17)</f>
        <v/>
      </c>
      <c r="G106" s="1" t="str">
        <f>IF(ISBLANK('05-07 Tues'!G17),"",'05-07 Tues'!G17)</f>
        <v/>
      </c>
    </row>
    <row r="107" spans="1:7" x14ac:dyDescent="0.25">
      <c r="A107" s="1" t="str">
        <f>IF(ISBLANK('05-07 Tues'!A18),"",'05-07 Tues'!A18)</f>
        <v/>
      </c>
      <c r="B107" s="1" t="str">
        <f>IF(ISBLANK('05-07 Tues'!B18),"",'05-07 Tues'!B18)</f>
        <v/>
      </c>
      <c r="C107" s="1" t="str">
        <f>IF(ISBLANK('05-07 Tues'!C18),"",'05-07 Tues'!C18)</f>
        <v/>
      </c>
      <c r="D107" s="5" t="str">
        <f>IF(ISBLANK('05-07 Tues'!D18),"",'05-07 Tues'!D18)</f>
        <v/>
      </c>
      <c r="E107" s="5" t="str">
        <f>IF(ISBLANK('05-07 Tues'!E18),"",'05-07 Tues'!E18)</f>
        <v/>
      </c>
      <c r="F107" s="3" t="str">
        <f>IF(ISBLANK('05-07 Tues'!F18),"",'05-07 Tues'!F18)</f>
        <v/>
      </c>
      <c r="G107" s="1" t="str">
        <f>IF(ISBLANK('05-07 Tues'!G18),"",'05-07 Tues'!G18)</f>
        <v/>
      </c>
    </row>
    <row r="108" spans="1:7" x14ac:dyDescent="0.25">
      <c r="A108" s="1" t="str">
        <f>IF(ISBLANK('05-07 Tues'!A19),"",'05-07 Tues'!A19)</f>
        <v/>
      </c>
      <c r="B108" s="1" t="str">
        <f>IF(ISBLANK('05-07 Tues'!B19),"",'05-07 Tues'!B19)</f>
        <v/>
      </c>
      <c r="C108" s="1" t="str">
        <f>IF(ISBLANK('05-07 Tues'!C19),"",'05-07 Tues'!C19)</f>
        <v/>
      </c>
      <c r="D108" s="5" t="str">
        <f>IF(ISBLANK('05-07 Tues'!D19),"",'05-07 Tues'!D19)</f>
        <v/>
      </c>
      <c r="E108" s="5" t="str">
        <f>IF(ISBLANK('05-07 Tues'!E19),"",'05-07 Tues'!E19)</f>
        <v/>
      </c>
      <c r="F108" s="3" t="str">
        <f>IF(ISBLANK('05-07 Tues'!F19),"",'05-07 Tues'!F19)</f>
        <v/>
      </c>
      <c r="G108" s="1" t="str">
        <f>IF(ISBLANK('05-07 Tues'!G19),"",'05-07 Tues'!G19)</f>
        <v/>
      </c>
    </row>
    <row r="109" spans="1:7" x14ac:dyDescent="0.25">
      <c r="A109" s="1" t="str">
        <f>IF(ISBLANK('05-07 Tues'!A20),"",'05-07 Tues'!A20)</f>
        <v/>
      </c>
      <c r="B109" s="1" t="str">
        <f>IF(ISBLANK('05-07 Tues'!B20),"",'05-07 Tues'!B20)</f>
        <v/>
      </c>
      <c r="C109" s="1" t="str">
        <f>IF(ISBLANK('05-07 Tues'!C20),"",'05-07 Tues'!C20)</f>
        <v/>
      </c>
      <c r="D109" s="5" t="str">
        <f>IF(ISBLANK('05-07 Tues'!D20),"",'05-07 Tues'!D20)</f>
        <v/>
      </c>
      <c r="E109" s="5" t="str">
        <f>IF(ISBLANK('05-07 Tues'!E20),"",'05-07 Tues'!E20)</f>
        <v/>
      </c>
      <c r="F109" s="3" t="str">
        <f>IF(ISBLANK('05-07 Tues'!F20),"",'05-07 Tues'!F20)</f>
        <v/>
      </c>
      <c r="G109" s="1" t="str">
        <f>IF(ISBLANK('05-07 Tues'!G20),"",'05-07 Tues'!G20)</f>
        <v/>
      </c>
    </row>
    <row r="110" spans="1:7" x14ac:dyDescent="0.25">
      <c r="A110" s="1" t="str">
        <f>IF(ISBLANK('05-07 Tues'!A21),"",'05-07 Tues'!A21)</f>
        <v/>
      </c>
      <c r="B110" s="1" t="str">
        <f>IF(ISBLANK('05-07 Tues'!B21),"",'05-07 Tues'!B21)</f>
        <v/>
      </c>
      <c r="C110" s="1" t="str">
        <f>IF(ISBLANK('05-07 Tues'!C21),"",'05-07 Tues'!C21)</f>
        <v/>
      </c>
      <c r="D110" s="5" t="str">
        <f>IF(ISBLANK('05-07 Tues'!D21),"",'05-07 Tues'!D21)</f>
        <v/>
      </c>
      <c r="E110" s="5" t="str">
        <f>IF(ISBLANK('05-07 Tues'!E21),"",'05-07 Tues'!E21)</f>
        <v/>
      </c>
      <c r="F110" s="3" t="str">
        <f>IF(ISBLANK('05-07 Tues'!F21),"",'05-07 Tues'!F21)</f>
        <v/>
      </c>
      <c r="G110" s="1" t="str">
        <f>IF(ISBLANK('05-07 Tues'!G21),"",'05-07 Tues'!G21)</f>
        <v/>
      </c>
    </row>
    <row r="111" spans="1:7" x14ac:dyDescent="0.25">
      <c r="A111" s="1" t="str">
        <f>IF(ISBLANK('05-07 Tues'!A22),"",'05-07 Tues'!A22)</f>
        <v/>
      </c>
      <c r="B111" s="1" t="str">
        <f>IF(ISBLANK('05-07 Tues'!B22),"",'05-07 Tues'!B22)</f>
        <v/>
      </c>
      <c r="C111" s="1" t="str">
        <f>IF(ISBLANK('05-07 Tues'!C22),"",'05-07 Tues'!C22)</f>
        <v/>
      </c>
      <c r="D111" s="5" t="str">
        <f>IF(ISBLANK('05-07 Tues'!D22),"",'05-07 Tues'!D22)</f>
        <v/>
      </c>
      <c r="E111" s="5" t="str">
        <f>IF(ISBLANK('05-07 Tues'!E22),"",'05-07 Tues'!E22)</f>
        <v/>
      </c>
      <c r="F111" s="3" t="str">
        <f>IF(ISBLANK('05-07 Tues'!F22),"",'05-07 Tues'!F22)</f>
        <v/>
      </c>
      <c r="G111" s="1" t="str">
        <f>IF(ISBLANK('05-07 Tues'!G22),"",'05-07 Tues'!G22)</f>
        <v/>
      </c>
    </row>
    <row r="112" spans="1:7" x14ac:dyDescent="0.25">
      <c r="A112" s="1" t="str">
        <f>IF(ISBLANK('05-07 Tues'!A23),"",'05-07 Tues'!A23)</f>
        <v/>
      </c>
      <c r="B112" s="1" t="str">
        <f>IF(ISBLANK('05-07 Tues'!B23),"",'05-07 Tues'!B23)</f>
        <v/>
      </c>
      <c r="C112" s="1" t="str">
        <f>IF(ISBLANK('05-07 Tues'!C23),"",'05-07 Tues'!C23)</f>
        <v/>
      </c>
      <c r="D112" s="5" t="str">
        <f>IF(ISBLANK('05-07 Tues'!D23),"",'05-07 Tues'!D23)</f>
        <v/>
      </c>
      <c r="E112" s="5" t="str">
        <f>IF(ISBLANK('05-07 Tues'!E23),"",'05-07 Tues'!E23)</f>
        <v/>
      </c>
      <c r="F112" s="3" t="str">
        <f>IF(ISBLANK('05-07 Tues'!F23),"",'05-07 Tues'!F23)</f>
        <v/>
      </c>
      <c r="G112" s="1" t="str">
        <f>IF(ISBLANK('05-07 Tues'!G23),"",'05-07 Tues'!G23)</f>
        <v/>
      </c>
    </row>
    <row r="113" spans="1:7" x14ac:dyDescent="0.25">
      <c r="A113" s="1" t="str">
        <f>IF(ISBLANK('05-07 Tues'!A24),"",'05-07 Tues'!A24)</f>
        <v/>
      </c>
      <c r="B113" s="1" t="str">
        <f>IF(ISBLANK('05-07 Tues'!B24),"",'05-07 Tues'!B24)</f>
        <v/>
      </c>
      <c r="C113" s="1" t="str">
        <f>IF(ISBLANK('05-07 Tues'!C24),"",'05-07 Tues'!C24)</f>
        <v/>
      </c>
      <c r="D113" s="5" t="str">
        <f>IF(ISBLANK('05-07 Tues'!D24),"",'05-07 Tues'!D24)</f>
        <v/>
      </c>
      <c r="E113" s="5" t="str">
        <f>IF(ISBLANK('05-07 Tues'!E24),"",'05-07 Tues'!E24)</f>
        <v/>
      </c>
      <c r="F113" s="3" t="str">
        <f>IF(ISBLANK('05-07 Tues'!F24),"",'05-07 Tues'!F24)</f>
        <v/>
      </c>
      <c r="G113" s="1" t="str">
        <f>IF(ISBLANK('05-07 Tues'!G24),"",'05-07 Tues'!G24)</f>
        <v/>
      </c>
    </row>
    <row r="114" spans="1:7" x14ac:dyDescent="0.25">
      <c r="A114" s="1" t="str">
        <f>IF(ISBLANK('05-07 Tues'!A25),"",'05-07 Tues'!A25)</f>
        <v/>
      </c>
      <c r="B114" s="1" t="str">
        <f>IF(ISBLANK('05-07 Tues'!B25),"",'05-07 Tues'!B25)</f>
        <v/>
      </c>
      <c r="C114" s="1" t="str">
        <f>IF(ISBLANK('05-07 Tues'!C25),"",'05-07 Tues'!C25)</f>
        <v/>
      </c>
      <c r="D114" s="5" t="str">
        <f>IF(ISBLANK('05-07 Tues'!D25),"",'05-07 Tues'!D25)</f>
        <v/>
      </c>
      <c r="E114" s="5" t="str">
        <f>IF(ISBLANK('05-07 Tues'!E25),"",'05-07 Tues'!E25)</f>
        <v/>
      </c>
      <c r="F114" s="3" t="str">
        <f>IF(ISBLANK('05-07 Tues'!F25),"",'05-07 Tues'!F25)</f>
        <v/>
      </c>
      <c r="G114" s="1" t="str">
        <f>IF(ISBLANK('05-07 Tues'!G25),"",'05-07 Tues'!G25)</f>
        <v/>
      </c>
    </row>
    <row r="115" spans="1:7" x14ac:dyDescent="0.25">
      <c r="A115" s="1" t="str">
        <f>IF(ISBLANK('05-07 Tues'!A26),"",'05-07 Tues'!A26)</f>
        <v/>
      </c>
      <c r="B115" s="1" t="str">
        <f>IF(ISBLANK('05-07 Tues'!B26),"",'05-07 Tues'!B26)</f>
        <v/>
      </c>
      <c r="C115" s="1" t="str">
        <f>IF(ISBLANK('05-07 Tues'!C26),"",'05-07 Tues'!C26)</f>
        <v/>
      </c>
      <c r="D115" s="5" t="str">
        <f>IF(ISBLANK('05-07 Tues'!D26),"",'05-07 Tues'!D26)</f>
        <v/>
      </c>
      <c r="E115" s="5" t="str">
        <f>IF(ISBLANK('05-07 Tues'!E26),"",'05-07 Tues'!E26)</f>
        <v/>
      </c>
      <c r="F115" s="3" t="str">
        <f>IF(ISBLANK('05-07 Tues'!F26),"",'05-07 Tues'!F26)</f>
        <v/>
      </c>
      <c r="G115" s="1" t="str">
        <f>IF(ISBLANK('05-07 Tues'!G26),"",'05-07 Tues'!G26)</f>
        <v/>
      </c>
    </row>
    <row r="116" spans="1:7" x14ac:dyDescent="0.25">
      <c r="A116" s="1" t="str">
        <f>IF(ISBLANK('05-07 Tues'!A27),"",'05-07 Tues'!A27)</f>
        <v/>
      </c>
      <c r="B116" s="1" t="str">
        <f>IF(ISBLANK('05-07 Tues'!B27),"",'05-07 Tues'!B27)</f>
        <v/>
      </c>
      <c r="C116" s="1" t="str">
        <f>IF(ISBLANK('05-07 Tues'!C27),"",'05-07 Tues'!C27)</f>
        <v/>
      </c>
      <c r="D116" s="5" t="str">
        <f>IF(ISBLANK('05-07 Tues'!D27),"",'05-07 Tues'!D27)</f>
        <v/>
      </c>
      <c r="E116" s="5" t="str">
        <f>IF(ISBLANK('05-07 Tues'!E27),"",'05-07 Tues'!E27)</f>
        <v/>
      </c>
      <c r="F116" s="3" t="str">
        <f>IF(ISBLANK('05-07 Tues'!F27),"",'05-07 Tues'!F27)</f>
        <v/>
      </c>
      <c r="G116" s="1" t="str">
        <f>IF(ISBLANK('05-07 Tues'!G27),"",'05-07 Tues'!G27)</f>
        <v/>
      </c>
    </row>
    <row r="117" spans="1:7" x14ac:dyDescent="0.25">
      <c r="A117" s="1" t="str">
        <f>IF(ISBLANK('05-07 Tues'!A28),"",'05-07 Tues'!A28)</f>
        <v/>
      </c>
      <c r="B117" s="1" t="str">
        <f>IF(ISBLANK('05-07 Tues'!B28),"",'05-07 Tues'!B28)</f>
        <v/>
      </c>
      <c r="C117" s="1" t="str">
        <f>IF(ISBLANK('05-07 Tues'!C28),"",'05-07 Tues'!C28)</f>
        <v/>
      </c>
      <c r="D117" s="5" t="str">
        <f>IF(ISBLANK('05-07 Tues'!D28),"",'05-07 Tues'!D28)</f>
        <v/>
      </c>
      <c r="E117" s="5" t="str">
        <f>IF(ISBLANK('05-07 Tues'!E28),"",'05-07 Tues'!E28)</f>
        <v/>
      </c>
      <c r="F117" s="3" t="str">
        <f>IF(ISBLANK('05-07 Tues'!F28),"",'05-07 Tues'!F28)</f>
        <v/>
      </c>
      <c r="G117" s="1" t="str">
        <f>IF(ISBLANK('05-07 Tues'!G28),"",'05-07 Tues'!G28)</f>
        <v/>
      </c>
    </row>
    <row r="118" spans="1:7" x14ac:dyDescent="0.25">
      <c r="A118" s="1" t="str">
        <f>IF(ISBLANK('05-07 Tues'!A29),"",'05-07 Tues'!A29)</f>
        <v/>
      </c>
      <c r="B118" s="1" t="str">
        <f>IF(ISBLANK('05-07 Tues'!B29),"",'05-07 Tues'!B29)</f>
        <v/>
      </c>
      <c r="C118" s="1" t="str">
        <f>IF(ISBLANK('05-07 Tues'!C29),"",'05-07 Tues'!C29)</f>
        <v/>
      </c>
      <c r="D118" s="5" t="str">
        <f>IF(ISBLANK('05-07 Tues'!D29),"",'05-07 Tues'!D29)</f>
        <v/>
      </c>
      <c r="E118" s="5" t="str">
        <f>IF(ISBLANK('05-07 Tues'!E29),"",'05-07 Tues'!E29)</f>
        <v/>
      </c>
      <c r="F118" s="3" t="str">
        <f>IF(ISBLANK('05-07 Tues'!F29),"",'05-07 Tues'!F29)</f>
        <v/>
      </c>
      <c r="G118" s="1" t="str">
        <f>IF(ISBLANK('05-07 Tues'!G29),"",'05-07 Tues'!G29)</f>
        <v/>
      </c>
    </row>
    <row r="119" spans="1:7" x14ac:dyDescent="0.25">
      <c r="A119" s="1" t="str">
        <f>IF(ISBLANK('05-07 Tues'!A30),"",'05-07 Tues'!A30)</f>
        <v/>
      </c>
      <c r="B119" s="1" t="str">
        <f>IF(ISBLANK('05-07 Tues'!B30),"",'05-07 Tues'!B30)</f>
        <v/>
      </c>
      <c r="C119" s="1" t="str">
        <f>IF(ISBLANK('05-07 Tues'!C30),"",'05-07 Tues'!C30)</f>
        <v/>
      </c>
      <c r="D119" s="5" t="str">
        <f>IF(ISBLANK('05-07 Tues'!D30),"",'05-07 Tues'!D30)</f>
        <v/>
      </c>
      <c r="E119" s="5" t="str">
        <f>IF(ISBLANK('05-07 Tues'!E30),"",'05-07 Tues'!E30)</f>
        <v/>
      </c>
      <c r="F119" s="3" t="str">
        <f>IF(ISBLANK('05-07 Tues'!F30),"",'05-07 Tues'!F30)</f>
        <v/>
      </c>
      <c r="G119" s="1" t="str">
        <f>IF(ISBLANK('05-07 Tues'!G30),"",'05-07 Tues'!G30)</f>
        <v/>
      </c>
    </row>
    <row r="120" spans="1:7" x14ac:dyDescent="0.25">
      <c r="A120" s="1" t="str">
        <f>IF(ISBLANK('05-07 Tues'!A31),"",'05-07 Tues'!A31)</f>
        <v/>
      </c>
      <c r="B120" s="1" t="str">
        <f>IF(ISBLANK('05-07 Tues'!B31),"",'05-07 Tues'!B31)</f>
        <v/>
      </c>
      <c r="C120" s="1" t="str">
        <f>IF(ISBLANK('05-07 Tues'!C31),"",'05-07 Tues'!C31)</f>
        <v/>
      </c>
      <c r="D120" s="5" t="str">
        <f>IF(ISBLANK('05-07 Tues'!D31),"",'05-07 Tues'!D31)</f>
        <v/>
      </c>
      <c r="E120" s="5" t="str">
        <f>IF(ISBLANK('05-07 Tues'!E31),"",'05-07 Tues'!E31)</f>
        <v/>
      </c>
      <c r="F120" s="3" t="str">
        <f>IF(ISBLANK('05-07 Tues'!F31),"",'05-07 Tues'!F31)</f>
        <v/>
      </c>
      <c r="G120" s="1" t="str">
        <f>IF(ISBLANK('05-07 Tues'!G31),"",'05-07 Tues'!G31)</f>
        <v/>
      </c>
    </row>
    <row r="121" spans="1:7" x14ac:dyDescent="0.25">
      <c r="A121" s="1" t="str">
        <f>IF(ISBLANK('05-07 Tues'!A32),"",'05-07 Tues'!A32)</f>
        <v/>
      </c>
      <c r="B121" s="1" t="str">
        <f>IF(ISBLANK('05-07 Tues'!B32),"",'05-07 Tues'!B32)</f>
        <v/>
      </c>
      <c r="C121" s="1" t="str">
        <f>IF(ISBLANK('05-07 Tues'!C32),"",'05-07 Tues'!C32)</f>
        <v/>
      </c>
      <c r="D121" s="5" t="str">
        <f>IF(ISBLANK('05-07 Tues'!D32),"",'05-07 Tues'!D32)</f>
        <v/>
      </c>
      <c r="E121" s="5" t="str">
        <f>IF(ISBLANK('05-07 Tues'!E32),"",'05-07 Tues'!E32)</f>
        <v/>
      </c>
      <c r="F121" s="3" t="str">
        <f>IF(ISBLANK('05-07 Tues'!F32),"",'05-07 Tues'!F32)</f>
        <v/>
      </c>
      <c r="G121" s="1" t="str">
        <f>IF(ISBLANK('05-07 Tues'!G32),"",'05-07 Tues'!G32)</f>
        <v/>
      </c>
    </row>
    <row r="122" spans="1:7" x14ac:dyDescent="0.25">
      <c r="A122" s="1" t="str">
        <f>IF(ISBLANK('05-07 Tues'!A33),"",'05-07 Tues'!A33)</f>
        <v/>
      </c>
      <c r="B122" s="1" t="str">
        <f>IF(ISBLANK('05-07 Tues'!B33),"",'05-07 Tues'!B33)</f>
        <v/>
      </c>
      <c r="C122" s="1" t="str">
        <f>IF(ISBLANK('05-07 Tues'!C33),"",'05-07 Tues'!C33)</f>
        <v/>
      </c>
      <c r="D122" s="5" t="str">
        <f>IF(ISBLANK('05-07 Tues'!D33),"",'05-07 Tues'!D33)</f>
        <v/>
      </c>
      <c r="E122" s="5" t="str">
        <f>IF(ISBLANK('05-07 Tues'!E33),"",'05-07 Tues'!E33)</f>
        <v/>
      </c>
      <c r="F122" s="3" t="str">
        <f>IF(ISBLANK('05-07 Tues'!F33),"",'05-07 Tues'!F33)</f>
        <v/>
      </c>
      <c r="G122" s="1" t="str">
        <f>IF(ISBLANK('05-07 Tues'!G33),"",'05-07 Tues'!G33)</f>
        <v/>
      </c>
    </row>
    <row r="123" spans="1:7" x14ac:dyDescent="0.25">
      <c r="A123" s="1" t="str">
        <f>IF(ISBLANK('05-07 Tues'!A34),"",'05-07 Tues'!A34)</f>
        <v/>
      </c>
      <c r="B123" s="1" t="str">
        <f>IF(ISBLANK('05-07 Tues'!B34),"",'05-07 Tues'!B34)</f>
        <v/>
      </c>
      <c r="C123" s="1" t="str">
        <f>IF(ISBLANK('05-07 Tues'!C34),"",'05-07 Tues'!C34)</f>
        <v/>
      </c>
      <c r="D123" s="5" t="str">
        <f>IF(ISBLANK('05-07 Tues'!D34),"",'05-07 Tues'!D34)</f>
        <v/>
      </c>
      <c r="E123" s="5" t="str">
        <f>IF(ISBLANK('05-07 Tues'!E34),"",'05-07 Tues'!E34)</f>
        <v/>
      </c>
      <c r="F123" s="3" t="str">
        <f>IF(ISBLANK('05-07 Tues'!F34),"",'05-07 Tues'!F34)</f>
        <v/>
      </c>
      <c r="G123" s="1" t="str">
        <f>IF(ISBLANK('05-07 Tues'!G34),"",'05-07 Tues'!G34)</f>
        <v/>
      </c>
    </row>
    <row r="124" spans="1:7" x14ac:dyDescent="0.25">
      <c r="A124" s="1" t="str">
        <f>IF(ISBLANK('05-07 Tues'!A35),"",'05-07 Tues'!A35)</f>
        <v/>
      </c>
      <c r="B124" s="1" t="str">
        <f>IF(ISBLANK('05-07 Tues'!B35),"",'05-07 Tues'!B35)</f>
        <v/>
      </c>
      <c r="C124" s="1" t="str">
        <f>IF(ISBLANK('05-07 Tues'!C35),"",'05-07 Tues'!C35)</f>
        <v/>
      </c>
      <c r="D124" s="5" t="str">
        <f>IF(ISBLANK('05-07 Tues'!D35),"",'05-07 Tues'!D35)</f>
        <v/>
      </c>
      <c r="E124" s="5" t="str">
        <f>IF(ISBLANK('05-07 Tues'!E35),"",'05-07 Tues'!E35)</f>
        <v/>
      </c>
      <c r="F124" s="3" t="str">
        <f>IF(ISBLANK('05-07 Tues'!F35),"",'05-07 Tues'!F35)</f>
        <v/>
      </c>
      <c r="G124" s="1" t="str">
        <f>IF(ISBLANK('05-07 Tues'!G35),"",'05-07 Tues'!G35)</f>
        <v/>
      </c>
    </row>
    <row r="125" spans="1:7" x14ac:dyDescent="0.25">
      <c r="A125" s="1" t="str">
        <f>IF(ISBLANK('05-07 Tues'!A36),"",'05-07 Tues'!A36)</f>
        <v/>
      </c>
      <c r="B125" s="1" t="str">
        <f>IF(ISBLANK('05-07 Tues'!B36),"",'05-07 Tues'!B36)</f>
        <v/>
      </c>
      <c r="C125" s="1" t="str">
        <f>IF(ISBLANK('05-07 Tues'!C36),"",'05-07 Tues'!C36)</f>
        <v/>
      </c>
      <c r="D125" s="5" t="str">
        <f>IF(ISBLANK('05-07 Tues'!D36),"",'05-07 Tues'!D36)</f>
        <v/>
      </c>
      <c r="E125" s="5" t="str">
        <f>IF(ISBLANK('05-07 Tues'!E36),"",'05-07 Tues'!E36)</f>
        <v/>
      </c>
      <c r="F125" s="3" t="str">
        <f>IF(ISBLANK('05-07 Tues'!F36),"",'05-07 Tues'!F36)</f>
        <v/>
      </c>
      <c r="G125" s="1" t="str">
        <f>IF(ISBLANK('05-07 Tues'!G36),"",'05-07 Tues'!G36)</f>
        <v/>
      </c>
    </row>
    <row r="126" spans="1:7" x14ac:dyDescent="0.25">
      <c r="A126" s="1" t="str">
        <f>IF(ISBLANK('05-07 Tues'!A37),"",'05-07 Tues'!A37)</f>
        <v/>
      </c>
      <c r="B126" s="1" t="str">
        <f>IF(ISBLANK('05-07 Tues'!B37),"",'05-07 Tues'!B37)</f>
        <v/>
      </c>
      <c r="C126" s="1" t="str">
        <f>IF(ISBLANK('05-07 Tues'!C37),"",'05-07 Tues'!C37)</f>
        <v/>
      </c>
      <c r="D126" s="5" t="str">
        <f>IF(ISBLANK('05-07 Tues'!D37),"",'05-07 Tues'!D37)</f>
        <v/>
      </c>
      <c r="E126" s="5" t="str">
        <f>IF(ISBLANK('05-07 Tues'!E37),"",'05-07 Tues'!E37)</f>
        <v/>
      </c>
      <c r="F126" s="3" t="str">
        <f>IF(ISBLANK('05-07 Tues'!F37),"",'05-07 Tues'!F37)</f>
        <v/>
      </c>
      <c r="G126" s="1" t="str">
        <f>IF(ISBLANK('05-07 Tues'!G37),"",'05-07 Tues'!G37)</f>
        <v/>
      </c>
    </row>
    <row r="127" spans="1:7" x14ac:dyDescent="0.25">
      <c r="A127" s="1" t="str">
        <f>IF(ISBLANK('05-07 Tues'!A38),"",'05-07 Tues'!A38)</f>
        <v/>
      </c>
      <c r="B127" s="1" t="str">
        <f>IF(ISBLANK('05-07 Tues'!B38),"",'05-07 Tues'!B38)</f>
        <v/>
      </c>
      <c r="C127" s="1" t="str">
        <f>IF(ISBLANK('05-07 Tues'!C38),"",'05-07 Tues'!C38)</f>
        <v/>
      </c>
      <c r="D127" s="5" t="str">
        <f>IF(ISBLANK('05-07 Tues'!D38),"",'05-07 Tues'!D38)</f>
        <v/>
      </c>
      <c r="E127" s="5" t="str">
        <f>IF(ISBLANK('05-07 Tues'!E38),"",'05-07 Tues'!E38)</f>
        <v/>
      </c>
      <c r="F127" s="3" t="str">
        <f>IF(ISBLANK('05-07 Tues'!F38),"",'05-07 Tues'!F38)</f>
        <v/>
      </c>
      <c r="G127" s="1" t="str">
        <f>IF(ISBLANK('05-07 Tues'!G38),"",'05-07 Tues'!G38)</f>
        <v/>
      </c>
    </row>
    <row r="128" spans="1:7" x14ac:dyDescent="0.25">
      <c r="A128" s="1" t="str">
        <f>IF(ISBLANK('05-07 Tues'!A39),"",'05-07 Tues'!A39)</f>
        <v/>
      </c>
      <c r="B128" s="1" t="str">
        <f>IF(ISBLANK('05-07 Tues'!B39),"",'05-07 Tues'!B39)</f>
        <v/>
      </c>
      <c r="C128" s="1" t="str">
        <f>IF(ISBLANK('05-07 Tues'!C39),"",'05-07 Tues'!C39)</f>
        <v/>
      </c>
      <c r="D128" s="5" t="str">
        <f>IF(ISBLANK('05-07 Tues'!D39),"",'05-07 Tues'!D39)</f>
        <v/>
      </c>
      <c r="E128" s="5" t="str">
        <f>IF(ISBLANK('05-07 Tues'!E39),"",'05-07 Tues'!E39)</f>
        <v/>
      </c>
      <c r="F128" s="3" t="str">
        <f>IF(ISBLANK('05-07 Tues'!F39),"",'05-07 Tues'!F39)</f>
        <v/>
      </c>
      <c r="G128" s="1" t="str">
        <f>IF(ISBLANK('05-07 Tues'!G39),"",'05-07 Tues'!G39)</f>
        <v/>
      </c>
    </row>
    <row r="129" spans="1:7" x14ac:dyDescent="0.25">
      <c r="A129" s="1" t="str">
        <f>IF(ISBLANK('05-07 Tues'!A40),"",'05-07 Tues'!A40)</f>
        <v/>
      </c>
      <c r="B129" s="1" t="str">
        <f>IF(ISBLANK('05-07 Tues'!B40),"",'05-07 Tues'!B40)</f>
        <v/>
      </c>
      <c r="C129" s="1" t="str">
        <f>IF(ISBLANK('05-07 Tues'!C40),"",'05-07 Tues'!C40)</f>
        <v/>
      </c>
      <c r="D129" s="5" t="str">
        <f>IF(ISBLANK('05-07 Tues'!D40),"",'05-07 Tues'!D40)</f>
        <v/>
      </c>
      <c r="E129" s="5" t="str">
        <f>IF(ISBLANK('05-07 Tues'!E40),"",'05-07 Tues'!E40)</f>
        <v/>
      </c>
      <c r="F129" s="3" t="str">
        <f>IF(ISBLANK('05-07 Tues'!F40),"",'05-07 Tues'!F40)</f>
        <v/>
      </c>
      <c r="G129" s="1" t="str">
        <f>IF(ISBLANK('05-07 Tues'!G40),"",'05-07 Tues'!G40)</f>
        <v/>
      </c>
    </row>
    <row r="130" spans="1:7" x14ac:dyDescent="0.25">
      <c r="A130" s="1" t="str">
        <f>IF(ISBLANK('05-07 Tues'!A41),"",'05-07 Tues'!A41)</f>
        <v/>
      </c>
      <c r="B130" s="1" t="str">
        <f>IF(ISBLANK('05-07 Tues'!B41),"",'05-07 Tues'!B41)</f>
        <v/>
      </c>
      <c r="C130" s="1" t="str">
        <f>IF(ISBLANK('05-07 Tues'!C41),"",'05-07 Tues'!C41)</f>
        <v/>
      </c>
      <c r="D130" s="5" t="str">
        <f>IF(ISBLANK('05-07 Tues'!D41),"",'05-07 Tues'!D41)</f>
        <v/>
      </c>
      <c r="E130" s="5" t="str">
        <f>IF(ISBLANK('05-07 Tues'!E41),"",'05-07 Tues'!E41)</f>
        <v/>
      </c>
      <c r="F130" s="3" t="str">
        <f>IF(ISBLANK('05-07 Tues'!F41),"",'05-07 Tues'!F41)</f>
        <v/>
      </c>
      <c r="G130" s="1" t="str">
        <f>IF(ISBLANK('05-07 Tues'!G41),"",'05-07 Tues'!G41)</f>
        <v/>
      </c>
    </row>
    <row r="131" spans="1:7" x14ac:dyDescent="0.25">
      <c r="A131" s="1" t="str">
        <f>IF(ISBLANK('05-07 Tues'!A42),"",'05-07 Tues'!A42)</f>
        <v/>
      </c>
      <c r="B131" s="1" t="str">
        <f>IF(ISBLANK('05-07 Tues'!B42),"",'05-07 Tues'!B42)</f>
        <v/>
      </c>
      <c r="C131" s="1" t="str">
        <f>IF(ISBLANK('05-07 Tues'!C42),"",'05-07 Tues'!C42)</f>
        <v/>
      </c>
      <c r="D131" s="5" t="str">
        <f>IF(ISBLANK('05-07 Tues'!D42),"",'05-07 Tues'!D42)</f>
        <v/>
      </c>
      <c r="E131" s="5" t="str">
        <f>IF(ISBLANK('05-07 Tues'!E42),"",'05-07 Tues'!E42)</f>
        <v/>
      </c>
      <c r="F131" s="3" t="str">
        <f>IF(ISBLANK('05-07 Tues'!F42),"",'05-07 Tues'!F42)</f>
        <v/>
      </c>
      <c r="G131" s="1" t="str">
        <f>IF(ISBLANK('05-07 Tues'!G42),"",'05-07 Tues'!G42)</f>
        <v/>
      </c>
    </row>
    <row r="132" spans="1:7" x14ac:dyDescent="0.25">
      <c r="A132" s="1" t="str">
        <f>IF(ISBLANK('05-08 Wed'!A3),"",'05-08 Wed'!A3)</f>
        <v/>
      </c>
      <c r="B132" s="1" t="str">
        <f>IF(ISBLANK('05-08 Wed'!B3),"",'05-08 Wed'!B3)</f>
        <v/>
      </c>
      <c r="C132" s="1" t="str">
        <f>IF(ISBLANK('05-08 Wed'!C3),"",'05-08 Wed'!C3)</f>
        <v/>
      </c>
      <c r="D132" s="5" t="str">
        <f>IF(ISBLANK('05-08 Wed'!D3),"",'05-08 Wed'!D3)</f>
        <v/>
      </c>
      <c r="E132" s="5" t="str">
        <f>IF(ISBLANK('05-08 Wed'!E3),"",'05-08 Wed'!E3)</f>
        <v/>
      </c>
      <c r="F132" s="3" t="str">
        <f>IF(ISBLANK('05-08 Wed'!F3),"",'05-08 Wed'!F3)</f>
        <v/>
      </c>
      <c r="G132" s="1" t="str">
        <f>IF(ISBLANK('05-08 Wed'!G3),"",'05-08 Wed'!G3)</f>
        <v/>
      </c>
    </row>
    <row r="133" spans="1:7" x14ac:dyDescent="0.25">
      <c r="A133" s="1" t="str">
        <f>IF(ISBLANK('05-08 Wed'!A4),"",'05-08 Wed'!A4)</f>
        <v/>
      </c>
      <c r="B133" s="1" t="str">
        <f>IF(ISBLANK('05-08 Wed'!B4),"",'05-08 Wed'!B4)</f>
        <v/>
      </c>
      <c r="C133" s="1" t="str">
        <f>IF(ISBLANK('05-08 Wed'!C4),"",'05-08 Wed'!C4)</f>
        <v/>
      </c>
      <c r="D133" s="5" t="str">
        <f>IF(ISBLANK('05-08 Wed'!D4),"",'05-08 Wed'!D4)</f>
        <v/>
      </c>
      <c r="E133" s="5" t="str">
        <f>IF(ISBLANK('05-08 Wed'!E4),"",'05-08 Wed'!E4)</f>
        <v/>
      </c>
      <c r="F133" s="3" t="str">
        <f>IF(ISBLANK('05-08 Wed'!F4),"",'05-08 Wed'!F4)</f>
        <v/>
      </c>
      <c r="G133" s="1" t="str">
        <f>IF(ISBLANK('05-08 Wed'!G4),"",'05-08 Wed'!G4)</f>
        <v/>
      </c>
    </row>
    <row r="134" spans="1:7" x14ac:dyDescent="0.25">
      <c r="A134" s="1" t="str">
        <f>IF(ISBLANK('05-08 Wed'!A5),"",'05-08 Wed'!A5)</f>
        <v/>
      </c>
      <c r="B134" s="1" t="str">
        <f>IF(ISBLANK('05-08 Wed'!B5),"",'05-08 Wed'!B5)</f>
        <v/>
      </c>
      <c r="C134" s="1" t="str">
        <f>IF(ISBLANK('05-08 Wed'!C5),"",'05-08 Wed'!C5)</f>
        <v/>
      </c>
      <c r="D134" s="5" t="str">
        <f>IF(ISBLANK('05-08 Wed'!D5),"",'05-08 Wed'!D5)</f>
        <v/>
      </c>
      <c r="E134" s="5" t="str">
        <f>IF(ISBLANK('05-08 Wed'!E5),"",'05-08 Wed'!E5)</f>
        <v/>
      </c>
      <c r="F134" s="3" t="str">
        <f>IF(ISBLANK('05-08 Wed'!F5),"",'05-08 Wed'!F5)</f>
        <v/>
      </c>
      <c r="G134" s="1" t="str">
        <f>IF(ISBLANK('05-08 Wed'!G5),"",'05-08 Wed'!G5)</f>
        <v/>
      </c>
    </row>
    <row r="135" spans="1:7" x14ac:dyDescent="0.25">
      <c r="A135" s="1" t="str">
        <f>IF(ISBLANK('05-08 Wed'!A6),"",'05-08 Wed'!A6)</f>
        <v/>
      </c>
      <c r="B135" s="1" t="str">
        <f>IF(ISBLANK('05-08 Wed'!B6),"",'05-08 Wed'!B6)</f>
        <v/>
      </c>
      <c r="C135" s="1" t="str">
        <f>IF(ISBLANK('05-08 Wed'!C6),"",'05-08 Wed'!C6)</f>
        <v/>
      </c>
      <c r="D135" s="5" t="str">
        <f>IF(ISBLANK('05-08 Wed'!D6),"",'05-08 Wed'!D6)</f>
        <v/>
      </c>
      <c r="E135" s="5" t="str">
        <f>IF(ISBLANK('05-08 Wed'!E6),"",'05-08 Wed'!E6)</f>
        <v/>
      </c>
      <c r="F135" s="3" t="str">
        <f>IF(ISBLANK('05-08 Wed'!F6),"",'05-08 Wed'!F6)</f>
        <v/>
      </c>
      <c r="G135" s="1" t="str">
        <f>IF(ISBLANK('05-08 Wed'!G6),"",'05-08 Wed'!G6)</f>
        <v/>
      </c>
    </row>
    <row r="136" spans="1:7" x14ac:dyDescent="0.25">
      <c r="A136" s="1" t="str">
        <f>IF(ISBLANK('05-08 Wed'!A7),"",'05-08 Wed'!A7)</f>
        <v/>
      </c>
      <c r="B136" s="1" t="str">
        <f>IF(ISBLANK('05-08 Wed'!B7),"",'05-08 Wed'!B7)</f>
        <v/>
      </c>
      <c r="C136" s="1" t="str">
        <f>IF(ISBLANK('05-08 Wed'!C7),"",'05-08 Wed'!C7)</f>
        <v/>
      </c>
      <c r="D136" s="5" t="str">
        <f>IF(ISBLANK('05-08 Wed'!D7),"",'05-08 Wed'!D7)</f>
        <v/>
      </c>
      <c r="E136" s="5" t="str">
        <f>IF(ISBLANK('05-08 Wed'!E7),"",'05-08 Wed'!E7)</f>
        <v/>
      </c>
      <c r="F136" s="3" t="str">
        <f>IF(ISBLANK('05-08 Wed'!F7),"",'05-08 Wed'!F7)</f>
        <v/>
      </c>
      <c r="G136" s="1" t="str">
        <f>IF(ISBLANK('05-08 Wed'!G7),"",'05-08 Wed'!G7)</f>
        <v/>
      </c>
    </row>
    <row r="137" spans="1:7" x14ac:dyDescent="0.25">
      <c r="A137" s="1" t="str">
        <f>IF(ISBLANK('05-08 Wed'!A8),"",'05-08 Wed'!A8)</f>
        <v/>
      </c>
      <c r="B137" s="1" t="str">
        <f>IF(ISBLANK('05-08 Wed'!B8),"",'05-08 Wed'!B8)</f>
        <v/>
      </c>
      <c r="C137" s="1" t="str">
        <f>IF(ISBLANK('05-08 Wed'!C8),"",'05-08 Wed'!C8)</f>
        <v/>
      </c>
      <c r="D137" s="5" t="str">
        <f>IF(ISBLANK('05-08 Wed'!D8),"",'05-08 Wed'!D8)</f>
        <v/>
      </c>
      <c r="E137" s="5" t="str">
        <f>IF(ISBLANK('05-08 Wed'!E8),"",'05-08 Wed'!E8)</f>
        <v/>
      </c>
      <c r="F137" s="3" t="str">
        <f>IF(ISBLANK('05-08 Wed'!F8),"",'05-08 Wed'!F8)</f>
        <v/>
      </c>
      <c r="G137" s="1" t="str">
        <f>IF(ISBLANK('05-08 Wed'!G8),"",'05-08 Wed'!G8)</f>
        <v/>
      </c>
    </row>
    <row r="138" spans="1:7" x14ac:dyDescent="0.25">
      <c r="A138" s="1" t="str">
        <f>IF(ISBLANK('05-08 Wed'!A9),"",'05-08 Wed'!A9)</f>
        <v/>
      </c>
      <c r="B138" s="1" t="str">
        <f>IF(ISBLANK('05-08 Wed'!B9),"",'05-08 Wed'!B9)</f>
        <v/>
      </c>
      <c r="C138" s="1" t="str">
        <f>IF(ISBLANK('05-08 Wed'!C9),"",'05-08 Wed'!C9)</f>
        <v/>
      </c>
      <c r="D138" s="5" t="str">
        <f>IF(ISBLANK('05-08 Wed'!D9),"",'05-08 Wed'!D9)</f>
        <v/>
      </c>
      <c r="E138" s="5" t="str">
        <f>IF(ISBLANK('05-08 Wed'!E9),"",'05-08 Wed'!E9)</f>
        <v/>
      </c>
      <c r="F138" s="3" t="str">
        <f>IF(ISBLANK('05-08 Wed'!F9),"",'05-08 Wed'!F9)</f>
        <v/>
      </c>
      <c r="G138" s="1" t="str">
        <f>IF(ISBLANK('05-08 Wed'!G9),"",'05-08 Wed'!G9)</f>
        <v/>
      </c>
    </row>
    <row r="139" spans="1:7" x14ac:dyDescent="0.25">
      <c r="A139" s="1" t="str">
        <f>IF(ISBLANK('05-08 Wed'!A10),"",'05-08 Wed'!A10)</f>
        <v/>
      </c>
      <c r="B139" s="1" t="str">
        <f>IF(ISBLANK('05-08 Wed'!B10),"",'05-08 Wed'!B10)</f>
        <v/>
      </c>
      <c r="C139" s="1" t="str">
        <f>IF(ISBLANK('05-08 Wed'!C10),"",'05-08 Wed'!C10)</f>
        <v/>
      </c>
      <c r="D139" s="5" t="str">
        <f>IF(ISBLANK('05-08 Wed'!D10),"",'05-08 Wed'!D10)</f>
        <v/>
      </c>
      <c r="E139" s="5" t="str">
        <f>IF(ISBLANK('05-08 Wed'!E10),"",'05-08 Wed'!E10)</f>
        <v/>
      </c>
      <c r="F139" s="3" t="str">
        <f>IF(ISBLANK('05-08 Wed'!F10),"",'05-08 Wed'!F10)</f>
        <v/>
      </c>
      <c r="G139" s="1" t="str">
        <f>IF(ISBLANK('05-08 Wed'!G10),"",'05-08 Wed'!G10)</f>
        <v/>
      </c>
    </row>
    <row r="140" spans="1:7" x14ac:dyDescent="0.25">
      <c r="A140" s="1" t="str">
        <f>IF(ISBLANK('05-08 Wed'!A11),"",'05-08 Wed'!A11)</f>
        <v/>
      </c>
      <c r="B140" s="1" t="str">
        <f>IF(ISBLANK('05-08 Wed'!B11),"",'05-08 Wed'!B11)</f>
        <v/>
      </c>
      <c r="C140" s="1" t="str">
        <f>IF(ISBLANK('05-08 Wed'!C11),"",'05-08 Wed'!C11)</f>
        <v/>
      </c>
      <c r="D140" s="5" t="str">
        <f>IF(ISBLANK('05-08 Wed'!D11),"",'05-08 Wed'!D11)</f>
        <v/>
      </c>
      <c r="E140" s="5" t="str">
        <f>IF(ISBLANK('05-08 Wed'!E11),"",'05-08 Wed'!E11)</f>
        <v/>
      </c>
      <c r="F140" s="3" t="str">
        <f>IF(ISBLANK('05-08 Wed'!F11),"",'05-08 Wed'!F11)</f>
        <v/>
      </c>
      <c r="G140" s="1" t="str">
        <f>IF(ISBLANK('05-08 Wed'!G11),"",'05-08 Wed'!G11)</f>
        <v/>
      </c>
    </row>
    <row r="141" spans="1:7" x14ac:dyDescent="0.25">
      <c r="A141" s="1" t="str">
        <f>IF(ISBLANK('05-08 Wed'!A12),"",'05-08 Wed'!A12)</f>
        <v/>
      </c>
      <c r="B141" s="1" t="str">
        <f>IF(ISBLANK('05-08 Wed'!B12),"",'05-08 Wed'!B12)</f>
        <v/>
      </c>
      <c r="C141" s="1" t="str">
        <f>IF(ISBLANK('05-08 Wed'!C12),"",'05-08 Wed'!C12)</f>
        <v/>
      </c>
      <c r="D141" s="5" t="str">
        <f>IF(ISBLANK('05-08 Wed'!D12),"",'05-08 Wed'!D12)</f>
        <v/>
      </c>
      <c r="E141" s="5" t="str">
        <f>IF(ISBLANK('05-08 Wed'!E12),"",'05-08 Wed'!E12)</f>
        <v/>
      </c>
      <c r="F141" s="3" t="str">
        <f>IF(ISBLANK('05-08 Wed'!F12),"",'05-08 Wed'!F12)</f>
        <v/>
      </c>
      <c r="G141" s="1" t="str">
        <f>IF(ISBLANK('05-08 Wed'!G12),"",'05-08 Wed'!G12)</f>
        <v/>
      </c>
    </row>
    <row r="142" spans="1:7" x14ac:dyDescent="0.25">
      <c r="A142" s="1" t="str">
        <f>IF(ISBLANK('05-08 Wed'!A13),"",'05-08 Wed'!A13)</f>
        <v/>
      </c>
      <c r="B142" s="1" t="str">
        <f>IF(ISBLANK('05-08 Wed'!B13),"",'05-08 Wed'!B13)</f>
        <v/>
      </c>
      <c r="C142" s="1" t="str">
        <f>IF(ISBLANK('05-08 Wed'!C13),"",'05-08 Wed'!C13)</f>
        <v/>
      </c>
      <c r="D142" s="5" t="str">
        <f>IF(ISBLANK('05-08 Wed'!D13),"",'05-08 Wed'!D13)</f>
        <v/>
      </c>
      <c r="E142" s="5" t="str">
        <f>IF(ISBLANK('05-08 Wed'!E13),"",'05-08 Wed'!E13)</f>
        <v/>
      </c>
      <c r="F142" s="3" t="str">
        <f>IF(ISBLANK('05-08 Wed'!F13),"",'05-08 Wed'!F13)</f>
        <v/>
      </c>
      <c r="G142" s="1" t="str">
        <f>IF(ISBLANK('05-08 Wed'!G13),"",'05-08 Wed'!G13)</f>
        <v/>
      </c>
    </row>
    <row r="143" spans="1:7" x14ac:dyDescent="0.25">
      <c r="A143" s="1" t="str">
        <f>IF(ISBLANK('05-08 Wed'!A14),"",'05-08 Wed'!A14)</f>
        <v/>
      </c>
      <c r="B143" s="1" t="str">
        <f>IF(ISBLANK('05-08 Wed'!B14),"",'05-08 Wed'!B14)</f>
        <v/>
      </c>
      <c r="C143" s="1" t="str">
        <f>IF(ISBLANK('05-08 Wed'!C14),"",'05-08 Wed'!C14)</f>
        <v/>
      </c>
      <c r="D143" s="5" t="str">
        <f>IF(ISBLANK('05-08 Wed'!D14),"",'05-08 Wed'!D14)</f>
        <v/>
      </c>
      <c r="E143" s="5" t="str">
        <f>IF(ISBLANK('05-08 Wed'!E14),"",'05-08 Wed'!E14)</f>
        <v/>
      </c>
      <c r="F143" s="3" t="str">
        <f>IF(ISBLANK('05-08 Wed'!F14),"",'05-08 Wed'!F14)</f>
        <v/>
      </c>
      <c r="G143" s="1" t="str">
        <f>IF(ISBLANK('05-08 Wed'!G14),"",'05-08 Wed'!G14)</f>
        <v/>
      </c>
    </row>
    <row r="144" spans="1:7" x14ac:dyDescent="0.25">
      <c r="A144" s="1" t="str">
        <f>IF(ISBLANK('05-08 Wed'!A15),"",'05-08 Wed'!A15)</f>
        <v/>
      </c>
      <c r="B144" s="1" t="str">
        <f>IF(ISBLANK('05-08 Wed'!B15),"",'05-08 Wed'!B15)</f>
        <v/>
      </c>
      <c r="C144" s="1" t="str">
        <f>IF(ISBLANK('05-08 Wed'!C15),"",'05-08 Wed'!C15)</f>
        <v/>
      </c>
      <c r="D144" s="5" t="str">
        <f>IF(ISBLANK('05-08 Wed'!D15),"",'05-08 Wed'!D15)</f>
        <v/>
      </c>
      <c r="E144" s="5" t="str">
        <f>IF(ISBLANK('05-08 Wed'!E15),"",'05-08 Wed'!E15)</f>
        <v/>
      </c>
      <c r="F144" s="3" t="str">
        <f>IF(ISBLANK('05-08 Wed'!F15),"",'05-08 Wed'!F15)</f>
        <v/>
      </c>
      <c r="G144" s="1" t="str">
        <f>IF(ISBLANK('05-08 Wed'!G15),"",'05-08 Wed'!G15)</f>
        <v/>
      </c>
    </row>
    <row r="145" spans="1:7" x14ac:dyDescent="0.25">
      <c r="A145" s="1" t="str">
        <f>IF(ISBLANK('05-08 Wed'!A16),"",'05-08 Wed'!A16)</f>
        <v/>
      </c>
      <c r="B145" s="1" t="str">
        <f>IF(ISBLANK('05-08 Wed'!B16),"",'05-08 Wed'!B16)</f>
        <v/>
      </c>
      <c r="C145" s="1" t="str">
        <f>IF(ISBLANK('05-08 Wed'!C16),"",'05-08 Wed'!C16)</f>
        <v/>
      </c>
      <c r="D145" s="5" t="str">
        <f>IF(ISBLANK('05-08 Wed'!D16),"",'05-08 Wed'!D16)</f>
        <v/>
      </c>
      <c r="E145" s="5" t="str">
        <f>IF(ISBLANK('05-08 Wed'!E16),"",'05-08 Wed'!E16)</f>
        <v/>
      </c>
      <c r="F145" s="3" t="str">
        <f>IF(ISBLANK('05-08 Wed'!F16),"",'05-08 Wed'!F16)</f>
        <v/>
      </c>
      <c r="G145" s="1" t="str">
        <f>IF(ISBLANK('05-08 Wed'!G16),"",'05-08 Wed'!G16)</f>
        <v/>
      </c>
    </row>
    <row r="146" spans="1:7" x14ac:dyDescent="0.25">
      <c r="A146" s="1" t="str">
        <f>IF(ISBLANK('05-08 Wed'!A17),"",'05-08 Wed'!A17)</f>
        <v/>
      </c>
      <c r="B146" s="1" t="str">
        <f>IF(ISBLANK('05-08 Wed'!B17),"",'05-08 Wed'!B17)</f>
        <v/>
      </c>
      <c r="C146" s="1" t="str">
        <f>IF(ISBLANK('05-08 Wed'!C17),"",'05-08 Wed'!C17)</f>
        <v/>
      </c>
      <c r="D146" s="5" t="str">
        <f>IF(ISBLANK('05-08 Wed'!D17),"",'05-08 Wed'!D17)</f>
        <v/>
      </c>
      <c r="E146" s="5" t="str">
        <f>IF(ISBLANK('05-08 Wed'!E17),"",'05-08 Wed'!E17)</f>
        <v/>
      </c>
      <c r="F146" s="3" t="str">
        <f>IF(ISBLANK('05-08 Wed'!F17),"",'05-08 Wed'!F17)</f>
        <v/>
      </c>
      <c r="G146" s="1" t="str">
        <f>IF(ISBLANK('05-08 Wed'!G17),"",'05-08 Wed'!G17)</f>
        <v/>
      </c>
    </row>
    <row r="147" spans="1:7" x14ac:dyDescent="0.25">
      <c r="A147" s="1" t="str">
        <f>IF(ISBLANK('05-08 Wed'!A18),"",'05-08 Wed'!A18)</f>
        <v/>
      </c>
      <c r="B147" s="1" t="str">
        <f>IF(ISBLANK('05-08 Wed'!B18),"",'05-08 Wed'!B18)</f>
        <v/>
      </c>
      <c r="C147" s="1" t="str">
        <f>IF(ISBLANK('05-08 Wed'!C18),"",'05-08 Wed'!C18)</f>
        <v/>
      </c>
      <c r="D147" s="5" t="str">
        <f>IF(ISBLANK('05-08 Wed'!D18),"",'05-08 Wed'!D18)</f>
        <v/>
      </c>
      <c r="E147" s="5" t="str">
        <f>IF(ISBLANK('05-08 Wed'!E18),"",'05-08 Wed'!E18)</f>
        <v/>
      </c>
      <c r="F147" s="3" t="str">
        <f>IF(ISBLANK('05-08 Wed'!F18),"",'05-08 Wed'!F18)</f>
        <v/>
      </c>
      <c r="G147" s="1" t="str">
        <f>IF(ISBLANK('05-08 Wed'!G18),"",'05-08 Wed'!G18)</f>
        <v/>
      </c>
    </row>
    <row r="148" spans="1:7" x14ac:dyDescent="0.25">
      <c r="A148" s="1" t="str">
        <f>IF(ISBLANK('05-08 Wed'!A19),"",'05-08 Wed'!A19)</f>
        <v/>
      </c>
      <c r="B148" s="1" t="str">
        <f>IF(ISBLANK('05-08 Wed'!B19),"",'05-08 Wed'!B19)</f>
        <v/>
      </c>
      <c r="C148" s="1" t="str">
        <f>IF(ISBLANK('05-08 Wed'!C19),"",'05-08 Wed'!C19)</f>
        <v/>
      </c>
      <c r="D148" s="5" t="str">
        <f>IF(ISBLANK('05-08 Wed'!D19),"",'05-08 Wed'!D19)</f>
        <v/>
      </c>
      <c r="E148" s="5" t="str">
        <f>IF(ISBLANK('05-08 Wed'!E19),"",'05-08 Wed'!E19)</f>
        <v/>
      </c>
      <c r="F148" s="3" t="str">
        <f>IF(ISBLANK('05-08 Wed'!F19),"",'05-08 Wed'!F19)</f>
        <v/>
      </c>
      <c r="G148" s="1" t="str">
        <f>IF(ISBLANK('05-08 Wed'!G19),"",'05-08 Wed'!G19)</f>
        <v/>
      </c>
    </row>
    <row r="149" spans="1:7" x14ac:dyDescent="0.25">
      <c r="A149" s="1" t="str">
        <f>IF(ISBLANK('05-08 Wed'!A20),"",'05-08 Wed'!A20)</f>
        <v/>
      </c>
      <c r="B149" s="1" t="str">
        <f>IF(ISBLANK('05-08 Wed'!B20),"",'05-08 Wed'!B20)</f>
        <v/>
      </c>
      <c r="C149" s="1" t="str">
        <f>IF(ISBLANK('05-08 Wed'!C20),"",'05-08 Wed'!C20)</f>
        <v/>
      </c>
      <c r="D149" s="5" t="str">
        <f>IF(ISBLANK('05-08 Wed'!D20),"",'05-08 Wed'!D20)</f>
        <v/>
      </c>
      <c r="E149" s="5" t="str">
        <f>IF(ISBLANK('05-08 Wed'!E20),"",'05-08 Wed'!E20)</f>
        <v/>
      </c>
      <c r="F149" s="3" t="str">
        <f>IF(ISBLANK('05-08 Wed'!F20),"",'05-08 Wed'!F20)</f>
        <v/>
      </c>
      <c r="G149" s="1" t="str">
        <f>IF(ISBLANK('05-08 Wed'!G20),"",'05-08 Wed'!G20)</f>
        <v/>
      </c>
    </row>
    <row r="150" spans="1:7" x14ac:dyDescent="0.25">
      <c r="A150" s="1" t="str">
        <f>IF(ISBLANK('05-08 Wed'!A21),"",'05-08 Wed'!A21)</f>
        <v/>
      </c>
      <c r="B150" s="1" t="str">
        <f>IF(ISBLANK('05-08 Wed'!B21),"",'05-08 Wed'!B21)</f>
        <v/>
      </c>
      <c r="C150" s="1" t="str">
        <f>IF(ISBLANK('05-08 Wed'!C21),"",'05-08 Wed'!C21)</f>
        <v/>
      </c>
      <c r="D150" s="5" t="str">
        <f>IF(ISBLANK('05-08 Wed'!D21),"",'05-08 Wed'!D21)</f>
        <v/>
      </c>
      <c r="E150" s="5" t="str">
        <f>IF(ISBLANK('05-08 Wed'!E21),"",'05-08 Wed'!E21)</f>
        <v/>
      </c>
      <c r="F150" s="3" t="str">
        <f>IF(ISBLANK('05-08 Wed'!F21),"",'05-08 Wed'!F21)</f>
        <v/>
      </c>
      <c r="G150" s="1" t="str">
        <f>IF(ISBLANK('05-08 Wed'!G21),"",'05-08 Wed'!G21)</f>
        <v/>
      </c>
    </row>
    <row r="151" spans="1:7" x14ac:dyDescent="0.25">
      <c r="A151" s="1" t="str">
        <f>IF(ISBLANK('05-08 Wed'!A22),"",'05-08 Wed'!A22)</f>
        <v/>
      </c>
      <c r="B151" s="1" t="str">
        <f>IF(ISBLANK('05-08 Wed'!B22),"",'05-08 Wed'!B22)</f>
        <v/>
      </c>
      <c r="C151" s="1" t="str">
        <f>IF(ISBLANK('05-08 Wed'!C22),"",'05-08 Wed'!C22)</f>
        <v/>
      </c>
      <c r="D151" s="5" t="str">
        <f>IF(ISBLANK('05-08 Wed'!D22),"",'05-08 Wed'!D22)</f>
        <v/>
      </c>
      <c r="E151" s="5" t="str">
        <f>IF(ISBLANK('05-08 Wed'!E22),"",'05-08 Wed'!E22)</f>
        <v/>
      </c>
      <c r="F151" s="3" t="str">
        <f>IF(ISBLANK('05-08 Wed'!F22),"",'05-08 Wed'!F22)</f>
        <v/>
      </c>
      <c r="G151" s="1" t="str">
        <f>IF(ISBLANK('05-08 Wed'!G22),"",'05-08 Wed'!G22)</f>
        <v/>
      </c>
    </row>
    <row r="152" spans="1:7" x14ac:dyDescent="0.25">
      <c r="A152" s="1" t="str">
        <f>IF(ISBLANK('05-08 Wed'!A23),"",'05-08 Wed'!A23)</f>
        <v/>
      </c>
      <c r="B152" s="1" t="str">
        <f>IF(ISBLANK('05-08 Wed'!B23),"",'05-08 Wed'!B23)</f>
        <v/>
      </c>
      <c r="C152" s="1" t="str">
        <f>IF(ISBLANK('05-08 Wed'!C23),"",'05-08 Wed'!C23)</f>
        <v/>
      </c>
      <c r="D152" s="5" t="str">
        <f>IF(ISBLANK('05-08 Wed'!D23),"",'05-08 Wed'!D23)</f>
        <v/>
      </c>
      <c r="E152" s="5" t="str">
        <f>IF(ISBLANK('05-08 Wed'!E23),"",'05-08 Wed'!E23)</f>
        <v/>
      </c>
      <c r="F152" s="3" t="str">
        <f>IF(ISBLANK('05-08 Wed'!F23),"",'05-08 Wed'!F23)</f>
        <v/>
      </c>
      <c r="G152" s="1" t="str">
        <f>IF(ISBLANK('05-08 Wed'!G23),"",'05-08 Wed'!G23)</f>
        <v/>
      </c>
    </row>
    <row r="153" spans="1:7" x14ac:dyDescent="0.25">
      <c r="A153" s="1" t="str">
        <f>IF(ISBLANK('05-08 Wed'!A24),"",'05-08 Wed'!A24)</f>
        <v/>
      </c>
      <c r="B153" s="1" t="str">
        <f>IF(ISBLANK('05-08 Wed'!B24),"",'05-08 Wed'!B24)</f>
        <v/>
      </c>
      <c r="C153" s="1" t="str">
        <f>IF(ISBLANK('05-08 Wed'!C24),"",'05-08 Wed'!C24)</f>
        <v/>
      </c>
      <c r="D153" s="5" t="str">
        <f>IF(ISBLANK('05-08 Wed'!D24),"",'05-08 Wed'!D24)</f>
        <v/>
      </c>
      <c r="E153" s="5" t="str">
        <f>IF(ISBLANK('05-08 Wed'!E24),"",'05-08 Wed'!E24)</f>
        <v/>
      </c>
      <c r="F153" s="3" t="str">
        <f>IF(ISBLANK('05-08 Wed'!F24),"",'05-08 Wed'!F24)</f>
        <v/>
      </c>
      <c r="G153" s="1" t="str">
        <f>IF(ISBLANK('05-08 Wed'!G24),"",'05-08 Wed'!G24)</f>
        <v/>
      </c>
    </row>
    <row r="154" spans="1:7" x14ac:dyDescent="0.25">
      <c r="A154" s="1" t="str">
        <f>IF(ISBLANK('05-08 Wed'!A25),"",'05-08 Wed'!A25)</f>
        <v/>
      </c>
      <c r="B154" s="1" t="str">
        <f>IF(ISBLANK('05-08 Wed'!B25),"",'05-08 Wed'!B25)</f>
        <v/>
      </c>
      <c r="C154" s="1" t="str">
        <f>IF(ISBLANK('05-08 Wed'!C25),"",'05-08 Wed'!C25)</f>
        <v/>
      </c>
      <c r="D154" s="5" t="str">
        <f>IF(ISBLANK('05-08 Wed'!D25),"",'05-08 Wed'!D25)</f>
        <v/>
      </c>
      <c r="E154" s="5" t="str">
        <f>IF(ISBLANK('05-08 Wed'!E25),"",'05-08 Wed'!E25)</f>
        <v/>
      </c>
      <c r="F154" s="3" t="str">
        <f>IF(ISBLANK('05-08 Wed'!F25),"",'05-08 Wed'!F25)</f>
        <v/>
      </c>
      <c r="G154" s="1" t="str">
        <f>IF(ISBLANK('05-08 Wed'!G25),"",'05-08 Wed'!G25)</f>
        <v/>
      </c>
    </row>
    <row r="155" spans="1:7" x14ac:dyDescent="0.25">
      <c r="A155" s="1" t="str">
        <f>IF(ISBLANK('05-08 Wed'!A26),"",'05-08 Wed'!A26)</f>
        <v/>
      </c>
      <c r="B155" s="1" t="str">
        <f>IF(ISBLANK('05-08 Wed'!B26),"",'05-08 Wed'!B26)</f>
        <v/>
      </c>
      <c r="C155" s="1" t="str">
        <f>IF(ISBLANK('05-08 Wed'!C26),"",'05-08 Wed'!C26)</f>
        <v/>
      </c>
      <c r="D155" s="5" t="str">
        <f>IF(ISBLANK('05-08 Wed'!D26),"",'05-08 Wed'!D26)</f>
        <v/>
      </c>
      <c r="E155" s="5" t="str">
        <f>IF(ISBLANK('05-08 Wed'!E26),"",'05-08 Wed'!E26)</f>
        <v/>
      </c>
      <c r="F155" s="3" t="str">
        <f>IF(ISBLANK('05-08 Wed'!F26),"",'05-08 Wed'!F26)</f>
        <v/>
      </c>
      <c r="G155" s="1" t="str">
        <f>IF(ISBLANK('05-08 Wed'!G26),"",'05-08 Wed'!G26)</f>
        <v/>
      </c>
    </row>
    <row r="156" spans="1:7" x14ac:dyDescent="0.25">
      <c r="A156" s="1" t="str">
        <f>IF(ISBLANK('05-08 Wed'!A27),"",'05-08 Wed'!A27)</f>
        <v/>
      </c>
      <c r="B156" s="1" t="str">
        <f>IF(ISBLANK('05-08 Wed'!B27),"",'05-08 Wed'!B27)</f>
        <v/>
      </c>
      <c r="C156" s="1" t="str">
        <f>IF(ISBLANK('05-08 Wed'!C27),"",'05-08 Wed'!C27)</f>
        <v/>
      </c>
      <c r="D156" s="5" t="str">
        <f>IF(ISBLANK('05-08 Wed'!D27),"",'05-08 Wed'!D27)</f>
        <v/>
      </c>
      <c r="E156" s="5" t="str">
        <f>IF(ISBLANK('05-08 Wed'!E27),"",'05-08 Wed'!E27)</f>
        <v/>
      </c>
      <c r="F156" s="3" t="str">
        <f>IF(ISBLANK('05-08 Wed'!F27),"",'05-08 Wed'!F27)</f>
        <v/>
      </c>
      <c r="G156" s="1" t="str">
        <f>IF(ISBLANK('05-08 Wed'!G27),"",'05-08 Wed'!G27)</f>
        <v/>
      </c>
    </row>
    <row r="157" spans="1:7" x14ac:dyDescent="0.25">
      <c r="A157" s="1" t="str">
        <f>IF(ISBLANK('05-08 Wed'!A28),"",'05-08 Wed'!A28)</f>
        <v/>
      </c>
      <c r="B157" s="1" t="str">
        <f>IF(ISBLANK('05-08 Wed'!B28),"",'05-08 Wed'!B28)</f>
        <v/>
      </c>
      <c r="C157" s="1" t="str">
        <f>IF(ISBLANK('05-08 Wed'!C28),"",'05-08 Wed'!C28)</f>
        <v/>
      </c>
      <c r="D157" s="5" t="str">
        <f>IF(ISBLANK('05-08 Wed'!D28),"",'05-08 Wed'!D28)</f>
        <v/>
      </c>
      <c r="E157" s="5" t="str">
        <f>IF(ISBLANK('05-08 Wed'!E28),"",'05-08 Wed'!E28)</f>
        <v/>
      </c>
      <c r="F157" s="3" t="str">
        <f>IF(ISBLANK('05-08 Wed'!F28),"",'05-08 Wed'!F28)</f>
        <v/>
      </c>
      <c r="G157" s="1" t="str">
        <f>IF(ISBLANK('05-08 Wed'!G28),"",'05-08 Wed'!G28)</f>
        <v/>
      </c>
    </row>
    <row r="158" spans="1:7" x14ac:dyDescent="0.25">
      <c r="A158" s="1" t="str">
        <f>IF(ISBLANK('05-08 Wed'!A29),"",'05-08 Wed'!A29)</f>
        <v/>
      </c>
      <c r="B158" s="1" t="str">
        <f>IF(ISBLANK('05-08 Wed'!B29),"",'05-08 Wed'!B29)</f>
        <v/>
      </c>
      <c r="C158" s="1" t="str">
        <f>IF(ISBLANK('05-08 Wed'!C29),"",'05-08 Wed'!C29)</f>
        <v/>
      </c>
      <c r="D158" s="5" t="str">
        <f>IF(ISBLANK('05-08 Wed'!D29),"",'05-08 Wed'!D29)</f>
        <v/>
      </c>
      <c r="E158" s="5" t="str">
        <f>IF(ISBLANK('05-08 Wed'!E29),"",'05-08 Wed'!E29)</f>
        <v/>
      </c>
      <c r="F158" s="3" t="str">
        <f>IF(ISBLANK('05-08 Wed'!F29),"",'05-08 Wed'!F29)</f>
        <v/>
      </c>
      <c r="G158" s="1" t="str">
        <f>IF(ISBLANK('05-08 Wed'!G29),"",'05-08 Wed'!G29)</f>
        <v/>
      </c>
    </row>
    <row r="159" spans="1:7" x14ac:dyDescent="0.25">
      <c r="A159" s="1" t="str">
        <f>IF(ISBLANK('05-08 Wed'!A30),"",'05-08 Wed'!A30)</f>
        <v/>
      </c>
      <c r="B159" s="1" t="str">
        <f>IF(ISBLANK('05-08 Wed'!B30),"",'05-08 Wed'!B30)</f>
        <v/>
      </c>
      <c r="C159" s="1" t="str">
        <f>IF(ISBLANK('05-08 Wed'!C30),"",'05-08 Wed'!C30)</f>
        <v/>
      </c>
      <c r="D159" s="5" t="str">
        <f>IF(ISBLANK('05-08 Wed'!D30),"",'05-08 Wed'!D30)</f>
        <v/>
      </c>
      <c r="E159" s="5" t="str">
        <f>IF(ISBLANK('05-08 Wed'!E30),"",'05-08 Wed'!E30)</f>
        <v/>
      </c>
      <c r="F159" s="3" t="str">
        <f>IF(ISBLANK('05-08 Wed'!F30),"",'05-08 Wed'!F30)</f>
        <v/>
      </c>
      <c r="G159" s="1" t="str">
        <f>IF(ISBLANK('05-08 Wed'!G30),"",'05-08 Wed'!G30)</f>
        <v/>
      </c>
    </row>
    <row r="160" spans="1:7" x14ac:dyDescent="0.25">
      <c r="A160" s="1" t="str">
        <f>IF(ISBLANK('05-08 Wed'!A31),"",'05-08 Wed'!A31)</f>
        <v/>
      </c>
      <c r="B160" s="1" t="str">
        <f>IF(ISBLANK('05-08 Wed'!B31),"",'05-08 Wed'!B31)</f>
        <v/>
      </c>
      <c r="C160" s="1" t="str">
        <f>IF(ISBLANK('05-08 Wed'!C31),"",'05-08 Wed'!C31)</f>
        <v/>
      </c>
      <c r="D160" s="5" t="str">
        <f>IF(ISBLANK('05-08 Wed'!D31),"",'05-08 Wed'!D31)</f>
        <v/>
      </c>
      <c r="E160" s="5" t="str">
        <f>IF(ISBLANK('05-08 Wed'!E31),"",'05-08 Wed'!E31)</f>
        <v/>
      </c>
      <c r="F160" s="3" t="str">
        <f>IF(ISBLANK('05-08 Wed'!F31),"",'05-08 Wed'!F31)</f>
        <v/>
      </c>
      <c r="G160" s="1" t="str">
        <f>IF(ISBLANK('05-08 Wed'!G31),"",'05-08 Wed'!G31)</f>
        <v/>
      </c>
    </row>
    <row r="161" spans="1:7" x14ac:dyDescent="0.25">
      <c r="A161" s="1" t="str">
        <f>IF(ISBLANK('05-08 Wed'!A32),"",'05-08 Wed'!A32)</f>
        <v/>
      </c>
      <c r="B161" s="1" t="str">
        <f>IF(ISBLANK('05-08 Wed'!B32),"",'05-08 Wed'!B32)</f>
        <v/>
      </c>
      <c r="C161" s="1" t="str">
        <f>IF(ISBLANK('05-08 Wed'!C32),"",'05-08 Wed'!C32)</f>
        <v/>
      </c>
      <c r="D161" s="5" t="str">
        <f>IF(ISBLANK('05-08 Wed'!D32),"",'05-08 Wed'!D32)</f>
        <v/>
      </c>
      <c r="E161" s="5" t="str">
        <f>IF(ISBLANK('05-08 Wed'!E32),"",'05-08 Wed'!E32)</f>
        <v/>
      </c>
      <c r="F161" s="3" t="str">
        <f>IF(ISBLANK('05-08 Wed'!F32),"",'05-08 Wed'!F32)</f>
        <v/>
      </c>
      <c r="G161" s="1" t="str">
        <f>IF(ISBLANK('05-08 Wed'!G32),"",'05-08 Wed'!G32)</f>
        <v/>
      </c>
    </row>
    <row r="162" spans="1:7" x14ac:dyDescent="0.25">
      <c r="A162" s="1" t="str">
        <f>IF(ISBLANK('05-08 Wed'!A33),"",'05-08 Wed'!A33)</f>
        <v/>
      </c>
      <c r="B162" s="1" t="str">
        <f>IF(ISBLANK('05-08 Wed'!B33),"",'05-08 Wed'!B33)</f>
        <v/>
      </c>
      <c r="C162" s="1" t="str">
        <f>IF(ISBLANK('05-08 Wed'!C33),"",'05-08 Wed'!C33)</f>
        <v/>
      </c>
      <c r="D162" s="5" t="str">
        <f>IF(ISBLANK('05-08 Wed'!D33),"",'05-08 Wed'!D33)</f>
        <v/>
      </c>
      <c r="E162" s="5" t="str">
        <f>IF(ISBLANK('05-08 Wed'!E33),"",'05-08 Wed'!E33)</f>
        <v/>
      </c>
      <c r="F162" s="3" t="str">
        <f>IF(ISBLANK('05-08 Wed'!F33),"",'05-08 Wed'!F33)</f>
        <v/>
      </c>
      <c r="G162" s="1" t="str">
        <f>IF(ISBLANK('05-08 Wed'!G33),"",'05-08 Wed'!G33)</f>
        <v/>
      </c>
    </row>
    <row r="163" spans="1:7" x14ac:dyDescent="0.25">
      <c r="A163" s="1" t="str">
        <f>IF(ISBLANK('05-08 Wed'!A34),"",'05-08 Wed'!A34)</f>
        <v/>
      </c>
      <c r="B163" s="1" t="str">
        <f>IF(ISBLANK('05-08 Wed'!B34),"",'05-08 Wed'!B34)</f>
        <v/>
      </c>
      <c r="C163" s="1" t="str">
        <f>IF(ISBLANK('05-08 Wed'!C34),"",'05-08 Wed'!C34)</f>
        <v/>
      </c>
      <c r="D163" s="5" t="str">
        <f>IF(ISBLANK('05-08 Wed'!D34),"",'05-08 Wed'!D34)</f>
        <v/>
      </c>
      <c r="E163" s="5" t="str">
        <f>IF(ISBLANK('05-08 Wed'!E34),"",'05-08 Wed'!E34)</f>
        <v/>
      </c>
      <c r="F163" s="3" t="str">
        <f>IF(ISBLANK('05-08 Wed'!F34),"",'05-08 Wed'!F34)</f>
        <v/>
      </c>
      <c r="G163" s="1" t="str">
        <f>IF(ISBLANK('05-08 Wed'!G34),"",'05-08 Wed'!G34)</f>
        <v/>
      </c>
    </row>
    <row r="164" spans="1:7" x14ac:dyDescent="0.25">
      <c r="A164" s="1" t="str">
        <f>IF(ISBLANK('05-08 Wed'!A35),"",'05-08 Wed'!A35)</f>
        <v/>
      </c>
      <c r="B164" s="1" t="str">
        <f>IF(ISBLANK('05-08 Wed'!B35),"",'05-08 Wed'!B35)</f>
        <v/>
      </c>
      <c r="C164" s="1" t="str">
        <f>IF(ISBLANK('05-08 Wed'!C35),"",'05-08 Wed'!C35)</f>
        <v/>
      </c>
      <c r="D164" s="5" t="str">
        <f>IF(ISBLANK('05-08 Wed'!D35),"",'05-08 Wed'!D35)</f>
        <v/>
      </c>
      <c r="E164" s="5" t="str">
        <f>IF(ISBLANK('05-08 Wed'!E35),"",'05-08 Wed'!E35)</f>
        <v/>
      </c>
      <c r="F164" s="3" t="str">
        <f>IF(ISBLANK('05-08 Wed'!F35),"",'05-08 Wed'!F35)</f>
        <v/>
      </c>
      <c r="G164" s="1" t="str">
        <f>IF(ISBLANK('05-08 Wed'!G35),"",'05-08 Wed'!G35)</f>
        <v/>
      </c>
    </row>
    <row r="165" spans="1:7" x14ac:dyDescent="0.25">
      <c r="A165" s="1" t="str">
        <f>IF(ISBLANK('05-08 Wed'!A36),"",'05-08 Wed'!A36)</f>
        <v/>
      </c>
      <c r="B165" s="1" t="str">
        <f>IF(ISBLANK('05-08 Wed'!B36),"",'05-08 Wed'!B36)</f>
        <v/>
      </c>
      <c r="C165" s="1" t="str">
        <f>IF(ISBLANK('05-08 Wed'!C36),"",'05-08 Wed'!C36)</f>
        <v/>
      </c>
      <c r="D165" s="5" t="str">
        <f>IF(ISBLANK('05-08 Wed'!D36),"",'05-08 Wed'!D36)</f>
        <v/>
      </c>
      <c r="E165" s="5" t="str">
        <f>IF(ISBLANK('05-08 Wed'!E36),"",'05-08 Wed'!E36)</f>
        <v/>
      </c>
      <c r="F165" s="3" t="str">
        <f>IF(ISBLANK('05-08 Wed'!F36),"",'05-08 Wed'!F36)</f>
        <v/>
      </c>
      <c r="G165" s="1" t="str">
        <f>IF(ISBLANK('05-08 Wed'!G36),"",'05-08 Wed'!G36)</f>
        <v/>
      </c>
    </row>
    <row r="166" spans="1:7" x14ac:dyDescent="0.25">
      <c r="A166" s="1" t="str">
        <f>IF(ISBLANK('05-08 Wed'!A37),"",'05-08 Wed'!A37)</f>
        <v/>
      </c>
      <c r="B166" s="1" t="str">
        <f>IF(ISBLANK('05-08 Wed'!B37),"",'05-08 Wed'!B37)</f>
        <v/>
      </c>
      <c r="C166" s="1" t="str">
        <f>IF(ISBLANK('05-08 Wed'!C37),"",'05-08 Wed'!C37)</f>
        <v/>
      </c>
      <c r="D166" s="5" t="str">
        <f>IF(ISBLANK('05-08 Wed'!D37),"",'05-08 Wed'!D37)</f>
        <v/>
      </c>
      <c r="E166" s="5" t="str">
        <f>IF(ISBLANK('05-08 Wed'!E37),"",'05-08 Wed'!E37)</f>
        <v/>
      </c>
      <c r="F166" s="3" t="str">
        <f>IF(ISBLANK('05-08 Wed'!F37),"",'05-08 Wed'!F37)</f>
        <v/>
      </c>
      <c r="G166" s="1" t="str">
        <f>IF(ISBLANK('05-08 Wed'!G37),"",'05-08 Wed'!G37)</f>
        <v/>
      </c>
    </row>
    <row r="167" spans="1:7" x14ac:dyDescent="0.25">
      <c r="A167" s="1" t="str">
        <f>IF(ISBLANK('05-08 Wed'!A38),"",'05-08 Wed'!A38)</f>
        <v/>
      </c>
      <c r="B167" s="1" t="str">
        <f>IF(ISBLANK('05-08 Wed'!B38),"",'05-08 Wed'!B38)</f>
        <v/>
      </c>
      <c r="C167" s="1" t="str">
        <f>IF(ISBLANK('05-08 Wed'!C38),"",'05-08 Wed'!C38)</f>
        <v/>
      </c>
      <c r="D167" s="5" t="str">
        <f>IF(ISBLANK('05-08 Wed'!D38),"",'05-08 Wed'!D38)</f>
        <v/>
      </c>
      <c r="E167" s="5" t="str">
        <f>IF(ISBLANK('05-08 Wed'!E38),"",'05-08 Wed'!E38)</f>
        <v/>
      </c>
      <c r="F167" s="3" t="str">
        <f>IF(ISBLANK('05-08 Wed'!F38),"",'05-08 Wed'!F38)</f>
        <v/>
      </c>
      <c r="G167" s="1" t="str">
        <f>IF(ISBLANK('05-08 Wed'!G38),"",'05-08 Wed'!G38)</f>
        <v/>
      </c>
    </row>
    <row r="168" spans="1:7" x14ac:dyDescent="0.25">
      <c r="A168" s="1" t="str">
        <f>IF(ISBLANK('05-08 Wed'!A39),"",'05-08 Wed'!A39)</f>
        <v/>
      </c>
      <c r="B168" s="1" t="str">
        <f>IF(ISBLANK('05-08 Wed'!B39),"",'05-08 Wed'!B39)</f>
        <v/>
      </c>
      <c r="C168" s="1" t="str">
        <f>IF(ISBLANK('05-08 Wed'!C39),"",'05-08 Wed'!C39)</f>
        <v/>
      </c>
      <c r="D168" s="5" t="str">
        <f>IF(ISBLANK('05-08 Wed'!D39),"",'05-08 Wed'!D39)</f>
        <v/>
      </c>
      <c r="E168" s="5" t="str">
        <f>IF(ISBLANK('05-08 Wed'!E39),"",'05-08 Wed'!E39)</f>
        <v/>
      </c>
      <c r="F168" s="3" t="str">
        <f>IF(ISBLANK('05-08 Wed'!F39),"",'05-08 Wed'!F39)</f>
        <v/>
      </c>
      <c r="G168" s="1" t="str">
        <f>IF(ISBLANK('05-08 Wed'!G39),"",'05-08 Wed'!G39)</f>
        <v/>
      </c>
    </row>
    <row r="169" spans="1:7" x14ac:dyDescent="0.25">
      <c r="A169" s="1" t="str">
        <f>IF(ISBLANK('05-08 Wed'!A40),"",'05-08 Wed'!A40)</f>
        <v/>
      </c>
      <c r="B169" s="1" t="str">
        <f>IF(ISBLANK('05-08 Wed'!B40),"",'05-08 Wed'!B40)</f>
        <v/>
      </c>
      <c r="C169" s="1" t="str">
        <f>IF(ISBLANK('05-08 Wed'!C40),"",'05-08 Wed'!C40)</f>
        <v/>
      </c>
      <c r="D169" s="5" t="str">
        <f>IF(ISBLANK('05-08 Wed'!D40),"",'05-08 Wed'!D40)</f>
        <v/>
      </c>
      <c r="E169" s="5" t="str">
        <f>IF(ISBLANK('05-08 Wed'!E40),"",'05-08 Wed'!E40)</f>
        <v/>
      </c>
      <c r="F169" s="3" t="str">
        <f>IF(ISBLANK('05-08 Wed'!F40),"",'05-08 Wed'!F40)</f>
        <v/>
      </c>
      <c r="G169" s="1" t="str">
        <f>IF(ISBLANK('05-08 Wed'!G40),"",'05-08 Wed'!G40)</f>
        <v/>
      </c>
    </row>
    <row r="170" spans="1:7" x14ac:dyDescent="0.25">
      <c r="A170" s="1" t="str">
        <f>IF(ISBLANK('05-08 Wed'!A41),"",'05-08 Wed'!A41)</f>
        <v/>
      </c>
      <c r="B170" s="1" t="str">
        <f>IF(ISBLANK('05-08 Wed'!B41),"",'05-08 Wed'!B41)</f>
        <v/>
      </c>
      <c r="C170" s="1" t="str">
        <f>IF(ISBLANK('05-08 Wed'!C41),"",'05-08 Wed'!C41)</f>
        <v/>
      </c>
      <c r="D170" s="5" t="str">
        <f>IF(ISBLANK('05-08 Wed'!D41),"",'05-08 Wed'!D41)</f>
        <v/>
      </c>
      <c r="E170" s="5" t="str">
        <f>IF(ISBLANK('05-08 Wed'!E41),"",'05-08 Wed'!E41)</f>
        <v/>
      </c>
      <c r="F170" s="3" t="str">
        <f>IF(ISBLANK('05-08 Wed'!F41),"",'05-08 Wed'!F41)</f>
        <v/>
      </c>
      <c r="G170" s="1" t="str">
        <f>IF(ISBLANK('05-08 Wed'!G41),"",'05-08 Wed'!G41)</f>
        <v/>
      </c>
    </row>
    <row r="171" spans="1:7" x14ac:dyDescent="0.25">
      <c r="A171" s="1" t="str">
        <f>IF(ISBLANK('05-08 Wed'!A42),"",'05-08 Wed'!A42)</f>
        <v/>
      </c>
      <c r="B171" s="1" t="str">
        <f>IF(ISBLANK('05-08 Wed'!B42),"",'05-08 Wed'!B42)</f>
        <v/>
      </c>
      <c r="C171" s="1" t="str">
        <f>IF(ISBLANK('05-08 Wed'!C42),"",'05-08 Wed'!C42)</f>
        <v/>
      </c>
      <c r="D171" s="5" t="str">
        <f>IF(ISBLANK('05-08 Wed'!D42),"",'05-08 Wed'!D42)</f>
        <v/>
      </c>
      <c r="E171" s="5" t="str">
        <f>IF(ISBLANK('05-08 Wed'!E42),"",'05-08 Wed'!E42)</f>
        <v/>
      </c>
      <c r="F171" s="3" t="str">
        <f>IF(ISBLANK('05-08 Wed'!F42),"",'05-08 Wed'!F42)</f>
        <v/>
      </c>
      <c r="G171" s="1" t="str">
        <f>IF(ISBLANK('05-08 Wed'!G42),"",'05-08 Wed'!G42)</f>
        <v/>
      </c>
    </row>
    <row r="172" spans="1:7" x14ac:dyDescent="0.25">
      <c r="A172" s="1" t="str">
        <f>IF(ISBLANK('05-09 Thurs'!A3),"",'05-09 Thurs'!A3)</f>
        <v/>
      </c>
      <c r="B172" s="1" t="str">
        <f>IF(ISBLANK('05-09 Thurs'!B3),"",'05-09 Thurs'!B3)</f>
        <v/>
      </c>
      <c r="C172" s="1" t="str">
        <f>IF(ISBLANK('05-09 Thurs'!C3),"",'05-09 Thurs'!C3)</f>
        <v/>
      </c>
      <c r="D172" s="5" t="str">
        <f>IF(ISBLANK('05-09 Thurs'!D3),"",'05-09 Thurs'!D3)</f>
        <v/>
      </c>
      <c r="E172" s="5" t="str">
        <f>IF(ISBLANK('05-09 Thurs'!E3),"",'05-09 Thurs'!E3)</f>
        <v/>
      </c>
      <c r="F172" s="3" t="str">
        <f>IF(ISBLANK('05-09 Thurs'!F3),"",'05-09 Thurs'!F3)</f>
        <v/>
      </c>
      <c r="G172" s="1" t="str">
        <f>IF(ISBLANK('05-09 Thurs'!G3),"",'05-09 Thurs'!G3)</f>
        <v/>
      </c>
    </row>
    <row r="173" spans="1:7" x14ac:dyDescent="0.25">
      <c r="A173" s="1" t="str">
        <f>IF(ISBLANK('05-09 Thurs'!A4),"",'05-09 Thurs'!A4)</f>
        <v/>
      </c>
      <c r="B173" s="1" t="str">
        <f>IF(ISBLANK('05-09 Thurs'!B4),"",'05-09 Thurs'!B4)</f>
        <v/>
      </c>
      <c r="C173" s="1" t="str">
        <f>IF(ISBLANK('05-09 Thurs'!C4),"",'05-09 Thurs'!C4)</f>
        <v/>
      </c>
      <c r="D173" s="5" t="str">
        <f>IF(ISBLANK('05-09 Thurs'!D4),"",'05-09 Thurs'!D4)</f>
        <v/>
      </c>
      <c r="E173" s="5" t="str">
        <f>IF(ISBLANK('05-09 Thurs'!E4),"",'05-09 Thurs'!E4)</f>
        <v/>
      </c>
      <c r="F173" s="3" t="str">
        <f>IF(ISBLANK('05-09 Thurs'!F4),"",'05-09 Thurs'!F4)</f>
        <v/>
      </c>
      <c r="G173" s="1" t="str">
        <f>IF(ISBLANK('05-09 Thurs'!G4),"",'05-09 Thurs'!G4)</f>
        <v/>
      </c>
    </row>
    <row r="174" spans="1:7" x14ac:dyDescent="0.25">
      <c r="A174" s="1" t="str">
        <f>IF(ISBLANK('05-09 Thurs'!A5),"",'05-09 Thurs'!A5)</f>
        <v/>
      </c>
      <c r="B174" s="1" t="str">
        <f>IF(ISBLANK('05-09 Thurs'!B5),"",'05-09 Thurs'!B5)</f>
        <v/>
      </c>
      <c r="C174" s="1" t="str">
        <f>IF(ISBLANK('05-09 Thurs'!C5),"",'05-09 Thurs'!C5)</f>
        <v/>
      </c>
      <c r="D174" s="5" t="str">
        <f>IF(ISBLANK('05-09 Thurs'!D5),"",'05-09 Thurs'!D5)</f>
        <v/>
      </c>
      <c r="E174" s="5" t="str">
        <f>IF(ISBLANK('05-09 Thurs'!E5),"",'05-09 Thurs'!E5)</f>
        <v/>
      </c>
      <c r="F174" s="3" t="str">
        <f>IF(ISBLANK('05-09 Thurs'!F5),"",'05-09 Thurs'!F5)</f>
        <v/>
      </c>
      <c r="G174" s="1" t="str">
        <f>IF(ISBLANK('05-09 Thurs'!G5),"",'05-09 Thurs'!G5)</f>
        <v/>
      </c>
    </row>
    <row r="175" spans="1:7" x14ac:dyDescent="0.25">
      <c r="A175" s="1" t="str">
        <f>IF(ISBLANK('05-09 Thurs'!A6),"",'05-09 Thurs'!A6)</f>
        <v/>
      </c>
      <c r="B175" s="1" t="str">
        <f>IF(ISBLANK('05-09 Thurs'!B6),"",'05-09 Thurs'!B6)</f>
        <v/>
      </c>
      <c r="C175" s="1" t="str">
        <f>IF(ISBLANK('05-09 Thurs'!C6),"",'05-09 Thurs'!C6)</f>
        <v/>
      </c>
      <c r="D175" s="5" t="str">
        <f>IF(ISBLANK('05-09 Thurs'!D6),"",'05-09 Thurs'!D6)</f>
        <v/>
      </c>
      <c r="E175" s="5" t="str">
        <f>IF(ISBLANK('05-09 Thurs'!E6),"",'05-09 Thurs'!E6)</f>
        <v/>
      </c>
      <c r="F175" s="3" t="str">
        <f>IF(ISBLANK('05-09 Thurs'!F6),"",'05-09 Thurs'!F6)</f>
        <v/>
      </c>
      <c r="G175" s="1" t="str">
        <f>IF(ISBLANK('05-09 Thurs'!G6),"",'05-09 Thurs'!G6)</f>
        <v/>
      </c>
    </row>
    <row r="176" spans="1:7" x14ac:dyDescent="0.25">
      <c r="A176" s="1" t="str">
        <f>IF(ISBLANK('05-09 Thurs'!A7),"",'05-09 Thurs'!A7)</f>
        <v/>
      </c>
      <c r="B176" s="1" t="str">
        <f>IF(ISBLANK('05-09 Thurs'!B7),"",'05-09 Thurs'!B7)</f>
        <v/>
      </c>
      <c r="C176" s="1" t="str">
        <f>IF(ISBLANK('05-09 Thurs'!C7),"",'05-09 Thurs'!C7)</f>
        <v/>
      </c>
      <c r="D176" s="5" t="str">
        <f>IF(ISBLANK('05-09 Thurs'!D7),"",'05-09 Thurs'!D7)</f>
        <v/>
      </c>
      <c r="E176" s="5" t="str">
        <f>IF(ISBLANK('05-09 Thurs'!E7),"",'05-09 Thurs'!E7)</f>
        <v/>
      </c>
      <c r="F176" s="3" t="str">
        <f>IF(ISBLANK('05-09 Thurs'!F7),"",'05-09 Thurs'!F7)</f>
        <v/>
      </c>
      <c r="G176" s="1" t="str">
        <f>IF(ISBLANK('05-09 Thurs'!G7),"",'05-09 Thurs'!G7)</f>
        <v/>
      </c>
    </row>
    <row r="177" spans="1:7" x14ac:dyDescent="0.25">
      <c r="A177" s="1" t="str">
        <f>IF(ISBLANK('05-09 Thurs'!A8),"",'05-09 Thurs'!A8)</f>
        <v/>
      </c>
      <c r="B177" s="1" t="str">
        <f>IF(ISBLANK('05-09 Thurs'!B8),"",'05-09 Thurs'!B8)</f>
        <v/>
      </c>
      <c r="C177" s="1" t="str">
        <f>IF(ISBLANK('05-09 Thurs'!C8),"",'05-09 Thurs'!C8)</f>
        <v/>
      </c>
      <c r="D177" s="5" t="str">
        <f>IF(ISBLANK('05-09 Thurs'!D8),"",'05-09 Thurs'!D8)</f>
        <v/>
      </c>
      <c r="E177" s="5" t="str">
        <f>IF(ISBLANK('05-09 Thurs'!E8),"",'05-09 Thurs'!E8)</f>
        <v/>
      </c>
      <c r="F177" s="3" t="str">
        <f>IF(ISBLANK('05-09 Thurs'!F8),"",'05-09 Thurs'!F8)</f>
        <v/>
      </c>
      <c r="G177" s="1" t="str">
        <f>IF(ISBLANK('05-09 Thurs'!G8),"",'05-09 Thurs'!G8)</f>
        <v/>
      </c>
    </row>
    <row r="178" spans="1:7" x14ac:dyDescent="0.25">
      <c r="A178" s="1" t="str">
        <f>IF(ISBLANK('05-09 Thurs'!A9),"",'05-09 Thurs'!A9)</f>
        <v/>
      </c>
      <c r="B178" s="1" t="str">
        <f>IF(ISBLANK('05-09 Thurs'!B9),"",'05-09 Thurs'!B9)</f>
        <v/>
      </c>
      <c r="C178" s="1" t="str">
        <f>IF(ISBLANK('05-09 Thurs'!C9),"",'05-09 Thurs'!C9)</f>
        <v/>
      </c>
      <c r="D178" s="5" t="str">
        <f>IF(ISBLANK('05-09 Thurs'!D9),"",'05-09 Thurs'!D9)</f>
        <v/>
      </c>
      <c r="E178" s="5" t="str">
        <f>IF(ISBLANK('05-09 Thurs'!E9),"",'05-09 Thurs'!E9)</f>
        <v/>
      </c>
      <c r="F178" s="3" t="str">
        <f>IF(ISBLANK('05-09 Thurs'!F9),"",'05-09 Thurs'!F9)</f>
        <v/>
      </c>
      <c r="G178" s="1" t="str">
        <f>IF(ISBLANK('05-09 Thurs'!G9),"",'05-09 Thurs'!G9)</f>
        <v/>
      </c>
    </row>
    <row r="179" spans="1:7" x14ac:dyDescent="0.25">
      <c r="A179" s="1" t="str">
        <f>IF(ISBLANK('05-09 Thurs'!A10),"",'05-09 Thurs'!A10)</f>
        <v/>
      </c>
      <c r="B179" s="1" t="str">
        <f>IF(ISBLANK('05-09 Thurs'!B10),"",'05-09 Thurs'!B10)</f>
        <v/>
      </c>
      <c r="C179" s="1" t="str">
        <f>IF(ISBLANK('05-09 Thurs'!C10),"",'05-09 Thurs'!C10)</f>
        <v/>
      </c>
      <c r="D179" s="5" t="str">
        <f>IF(ISBLANK('05-09 Thurs'!D10),"",'05-09 Thurs'!D10)</f>
        <v/>
      </c>
      <c r="E179" s="5" t="str">
        <f>IF(ISBLANK('05-09 Thurs'!E10),"",'05-09 Thurs'!E10)</f>
        <v/>
      </c>
      <c r="F179" s="3" t="str">
        <f>IF(ISBLANK('05-09 Thurs'!F10),"",'05-09 Thurs'!F10)</f>
        <v/>
      </c>
      <c r="G179" s="1" t="str">
        <f>IF(ISBLANK('05-09 Thurs'!G10),"",'05-09 Thurs'!G10)</f>
        <v/>
      </c>
    </row>
    <row r="180" spans="1:7" x14ac:dyDescent="0.25">
      <c r="A180" s="1" t="str">
        <f>IF(ISBLANK('05-09 Thurs'!A11),"",'05-09 Thurs'!A11)</f>
        <v/>
      </c>
      <c r="B180" s="1" t="str">
        <f>IF(ISBLANK('05-09 Thurs'!B11),"",'05-09 Thurs'!B11)</f>
        <v/>
      </c>
      <c r="C180" s="1" t="str">
        <f>IF(ISBLANK('05-09 Thurs'!C11),"",'05-09 Thurs'!C11)</f>
        <v/>
      </c>
      <c r="D180" s="5" t="str">
        <f>IF(ISBLANK('05-09 Thurs'!D11),"",'05-09 Thurs'!D11)</f>
        <v/>
      </c>
      <c r="E180" s="5" t="str">
        <f>IF(ISBLANK('05-09 Thurs'!E11),"",'05-09 Thurs'!E11)</f>
        <v/>
      </c>
      <c r="F180" s="3" t="str">
        <f>IF(ISBLANK('05-09 Thurs'!F11),"",'05-09 Thurs'!F11)</f>
        <v/>
      </c>
      <c r="G180" s="1" t="str">
        <f>IF(ISBLANK('05-09 Thurs'!G11),"",'05-09 Thurs'!G11)</f>
        <v/>
      </c>
    </row>
    <row r="181" spans="1:7" x14ac:dyDescent="0.25">
      <c r="A181" s="1" t="str">
        <f>IF(ISBLANK('05-09 Thurs'!A12),"",'05-09 Thurs'!A12)</f>
        <v/>
      </c>
      <c r="B181" s="1" t="str">
        <f>IF(ISBLANK('05-09 Thurs'!B12),"",'05-09 Thurs'!B12)</f>
        <v/>
      </c>
      <c r="C181" s="1" t="str">
        <f>IF(ISBLANK('05-09 Thurs'!C12),"",'05-09 Thurs'!C12)</f>
        <v/>
      </c>
      <c r="D181" s="5" t="str">
        <f>IF(ISBLANK('05-09 Thurs'!D12),"",'05-09 Thurs'!D12)</f>
        <v/>
      </c>
      <c r="E181" s="5" t="str">
        <f>IF(ISBLANK('05-09 Thurs'!E12),"",'05-09 Thurs'!E12)</f>
        <v/>
      </c>
      <c r="F181" s="3" t="str">
        <f>IF(ISBLANK('05-09 Thurs'!F12),"",'05-09 Thurs'!F12)</f>
        <v/>
      </c>
      <c r="G181" s="1" t="str">
        <f>IF(ISBLANK('05-09 Thurs'!G12),"",'05-09 Thurs'!G12)</f>
        <v/>
      </c>
    </row>
    <row r="182" spans="1:7" x14ac:dyDescent="0.25">
      <c r="A182" s="1" t="str">
        <f>IF(ISBLANK('05-09 Thurs'!A13),"",'05-09 Thurs'!A13)</f>
        <v/>
      </c>
      <c r="B182" s="1" t="str">
        <f>IF(ISBLANK('05-09 Thurs'!B13),"",'05-09 Thurs'!B13)</f>
        <v/>
      </c>
      <c r="C182" s="1" t="str">
        <f>IF(ISBLANK('05-09 Thurs'!C13),"",'05-09 Thurs'!C13)</f>
        <v/>
      </c>
      <c r="D182" s="5" t="str">
        <f>IF(ISBLANK('05-09 Thurs'!D13),"",'05-09 Thurs'!D13)</f>
        <v/>
      </c>
      <c r="E182" s="5" t="str">
        <f>IF(ISBLANK('05-09 Thurs'!E13),"",'05-09 Thurs'!E13)</f>
        <v/>
      </c>
      <c r="F182" s="3" t="str">
        <f>IF(ISBLANK('05-09 Thurs'!F13),"",'05-09 Thurs'!F13)</f>
        <v/>
      </c>
      <c r="G182" s="1" t="str">
        <f>IF(ISBLANK('05-09 Thurs'!G13),"",'05-09 Thurs'!G13)</f>
        <v/>
      </c>
    </row>
    <row r="183" spans="1:7" x14ac:dyDescent="0.25">
      <c r="A183" s="1" t="str">
        <f>IF(ISBLANK('05-09 Thurs'!A14),"",'05-09 Thurs'!A14)</f>
        <v/>
      </c>
      <c r="B183" s="1" t="str">
        <f>IF(ISBLANK('05-09 Thurs'!B14),"",'05-09 Thurs'!B14)</f>
        <v/>
      </c>
      <c r="C183" s="1" t="str">
        <f>IF(ISBLANK('05-09 Thurs'!C14),"",'05-09 Thurs'!C14)</f>
        <v/>
      </c>
      <c r="D183" s="5" t="str">
        <f>IF(ISBLANK('05-09 Thurs'!D14),"",'05-09 Thurs'!D14)</f>
        <v/>
      </c>
      <c r="E183" s="5" t="str">
        <f>IF(ISBLANK('05-09 Thurs'!E14),"",'05-09 Thurs'!E14)</f>
        <v/>
      </c>
      <c r="F183" s="3" t="str">
        <f>IF(ISBLANK('05-09 Thurs'!F14),"",'05-09 Thurs'!F14)</f>
        <v/>
      </c>
      <c r="G183" s="1" t="str">
        <f>IF(ISBLANK('05-09 Thurs'!G14),"",'05-09 Thurs'!G14)</f>
        <v/>
      </c>
    </row>
    <row r="184" spans="1:7" x14ac:dyDescent="0.25">
      <c r="A184" s="1" t="str">
        <f>IF(ISBLANK('05-09 Thurs'!A15),"",'05-09 Thurs'!A15)</f>
        <v/>
      </c>
      <c r="B184" s="1" t="str">
        <f>IF(ISBLANK('05-09 Thurs'!B15),"",'05-09 Thurs'!B15)</f>
        <v/>
      </c>
      <c r="C184" s="1" t="str">
        <f>IF(ISBLANK('05-09 Thurs'!C15),"",'05-09 Thurs'!C15)</f>
        <v/>
      </c>
      <c r="D184" s="5" t="str">
        <f>IF(ISBLANK('05-09 Thurs'!D15),"",'05-09 Thurs'!D15)</f>
        <v/>
      </c>
      <c r="E184" s="5" t="str">
        <f>IF(ISBLANK('05-09 Thurs'!E15),"",'05-09 Thurs'!E15)</f>
        <v/>
      </c>
      <c r="F184" s="3" t="str">
        <f>IF(ISBLANK('05-09 Thurs'!F15),"",'05-09 Thurs'!F15)</f>
        <v/>
      </c>
      <c r="G184" s="1" t="str">
        <f>IF(ISBLANK('05-09 Thurs'!G15),"",'05-09 Thurs'!G15)</f>
        <v/>
      </c>
    </row>
    <row r="185" spans="1:7" x14ac:dyDescent="0.25">
      <c r="A185" s="1" t="str">
        <f>IF(ISBLANK('05-09 Thurs'!A16),"",'05-09 Thurs'!A16)</f>
        <v/>
      </c>
      <c r="B185" s="1" t="str">
        <f>IF(ISBLANK('05-09 Thurs'!B16),"",'05-09 Thurs'!B16)</f>
        <v/>
      </c>
      <c r="C185" s="1" t="str">
        <f>IF(ISBLANK('05-09 Thurs'!C16),"",'05-09 Thurs'!C16)</f>
        <v/>
      </c>
      <c r="D185" s="5" t="str">
        <f>IF(ISBLANK('05-09 Thurs'!D16),"",'05-09 Thurs'!D16)</f>
        <v/>
      </c>
      <c r="E185" s="5" t="str">
        <f>IF(ISBLANK('05-09 Thurs'!E16),"",'05-09 Thurs'!E16)</f>
        <v/>
      </c>
      <c r="F185" s="3" t="str">
        <f>IF(ISBLANK('05-09 Thurs'!F16),"",'05-09 Thurs'!F16)</f>
        <v/>
      </c>
      <c r="G185" s="1" t="str">
        <f>IF(ISBLANK('05-09 Thurs'!G16),"",'05-09 Thurs'!G16)</f>
        <v/>
      </c>
    </row>
    <row r="186" spans="1:7" x14ac:dyDescent="0.25">
      <c r="A186" s="1" t="str">
        <f>IF(ISBLANK('05-09 Thurs'!A17),"",'05-09 Thurs'!A17)</f>
        <v/>
      </c>
      <c r="B186" s="1" t="str">
        <f>IF(ISBLANK('05-09 Thurs'!B17),"",'05-09 Thurs'!B17)</f>
        <v/>
      </c>
      <c r="C186" s="1" t="str">
        <f>IF(ISBLANK('05-09 Thurs'!C17),"",'05-09 Thurs'!C17)</f>
        <v/>
      </c>
      <c r="D186" s="5" t="str">
        <f>IF(ISBLANK('05-09 Thurs'!D17),"",'05-09 Thurs'!D17)</f>
        <v/>
      </c>
      <c r="E186" s="5" t="str">
        <f>IF(ISBLANK('05-09 Thurs'!E17),"",'05-09 Thurs'!E17)</f>
        <v/>
      </c>
      <c r="F186" s="3" t="str">
        <f>IF(ISBLANK('05-09 Thurs'!F17),"",'05-09 Thurs'!F17)</f>
        <v/>
      </c>
      <c r="G186" s="1" t="str">
        <f>IF(ISBLANK('05-09 Thurs'!G17),"",'05-09 Thurs'!G17)</f>
        <v/>
      </c>
    </row>
    <row r="187" spans="1:7" x14ac:dyDescent="0.25">
      <c r="A187" s="1" t="str">
        <f>IF(ISBLANK('05-09 Thurs'!A18),"",'05-09 Thurs'!A18)</f>
        <v/>
      </c>
      <c r="B187" s="1" t="str">
        <f>IF(ISBLANK('05-09 Thurs'!B18),"",'05-09 Thurs'!B18)</f>
        <v/>
      </c>
      <c r="C187" s="1" t="str">
        <f>IF(ISBLANK('05-09 Thurs'!C18),"",'05-09 Thurs'!C18)</f>
        <v/>
      </c>
      <c r="D187" s="5" t="str">
        <f>IF(ISBLANK('05-09 Thurs'!D18),"",'05-09 Thurs'!D18)</f>
        <v/>
      </c>
      <c r="E187" s="5" t="str">
        <f>IF(ISBLANK('05-09 Thurs'!E18),"",'05-09 Thurs'!E18)</f>
        <v/>
      </c>
      <c r="F187" s="3" t="str">
        <f>IF(ISBLANK('05-09 Thurs'!F18),"",'05-09 Thurs'!F18)</f>
        <v/>
      </c>
      <c r="G187" s="1" t="str">
        <f>IF(ISBLANK('05-09 Thurs'!G18),"",'05-09 Thurs'!G18)</f>
        <v/>
      </c>
    </row>
    <row r="188" spans="1:7" x14ac:dyDescent="0.25">
      <c r="A188" s="1" t="str">
        <f>IF(ISBLANK('05-09 Thurs'!A19),"",'05-09 Thurs'!A19)</f>
        <v/>
      </c>
      <c r="B188" s="1" t="str">
        <f>IF(ISBLANK('05-09 Thurs'!B19),"",'05-09 Thurs'!B19)</f>
        <v/>
      </c>
      <c r="C188" s="1" t="str">
        <f>IF(ISBLANK('05-09 Thurs'!C19),"",'05-09 Thurs'!C19)</f>
        <v/>
      </c>
      <c r="D188" s="5" t="str">
        <f>IF(ISBLANK('05-09 Thurs'!D19),"",'05-09 Thurs'!D19)</f>
        <v/>
      </c>
      <c r="E188" s="5" t="str">
        <f>IF(ISBLANK('05-09 Thurs'!E19),"",'05-09 Thurs'!E19)</f>
        <v/>
      </c>
      <c r="F188" s="3" t="str">
        <f>IF(ISBLANK('05-09 Thurs'!F19),"",'05-09 Thurs'!F19)</f>
        <v/>
      </c>
      <c r="G188" s="1" t="str">
        <f>IF(ISBLANK('05-09 Thurs'!G19),"",'05-09 Thurs'!G19)</f>
        <v/>
      </c>
    </row>
    <row r="189" spans="1:7" x14ac:dyDescent="0.25">
      <c r="A189" s="1" t="str">
        <f>IF(ISBLANK('05-09 Thurs'!A20),"",'05-09 Thurs'!A20)</f>
        <v/>
      </c>
      <c r="B189" s="1" t="str">
        <f>IF(ISBLANK('05-09 Thurs'!B20),"",'05-09 Thurs'!B20)</f>
        <v/>
      </c>
      <c r="C189" s="1" t="str">
        <f>IF(ISBLANK('05-09 Thurs'!C20),"",'05-09 Thurs'!C20)</f>
        <v/>
      </c>
      <c r="D189" s="5" t="str">
        <f>IF(ISBLANK('05-09 Thurs'!D20),"",'05-09 Thurs'!D20)</f>
        <v/>
      </c>
      <c r="E189" s="5" t="str">
        <f>IF(ISBLANK('05-09 Thurs'!E20),"",'05-09 Thurs'!E20)</f>
        <v/>
      </c>
      <c r="F189" s="3" t="str">
        <f>IF(ISBLANK('05-09 Thurs'!F20),"",'05-09 Thurs'!F20)</f>
        <v/>
      </c>
      <c r="G189" s="1" t="str">
        <f>IF(ISBLANK('05-09 Thurs'!G20),"",'05-09 Thurs'!G20)</f>
        <v/>
      </c>
    </row>
    <row r="190" spans="1:7" x14ac:dyDescent="0.25">
      <c r="A190" s="1" t="str">
        <f>IF(ISBLANK('05-09 Thurs'!A21),"",'05-09 Thurs'!A21)</f>
        <v/>
      </c>
      <c r="B190" s="1" t="str">
        <f>IF(ISBLANK('05-09 Thurs'!B21),"",'05-09 Thurs'!B21)</f>
        <v/>
      </c>
      <c r="C190" s="1" t="str">
        <f>IF(ISBLANK('05-09 Thurs'!C21),"",'05-09 Thurs'!C21)</f>
        <v/>
      </c>
      <c r="D190" s="5" t="str">
        <f>IF(ISBLANK('05-09 Thurs'!D21),"",'05-09 Thurs'!D21)</f>
        <v/>
      </c>
      <c r="E190" s="5" t="str">
        <f>IF(ISBLANK('05-09 Thurs'!E21),"",'05-09 Thurs'!E21)</f>
        <v/>
      </c>
      <c r="F190" s="3" t="str">
        <f>IF(ISBLANK('05-09 Thurs'!F21),"",'05-09 Thurs'!F21)</f>
        <v/>
      </c>
      <c r="G190" s="1" t="str">
        <f>IF(ISBLANK('05-09 Thurs'!G21),"",'05-09 Thurs'!G21)</f>
        <v/>
      </c>
    </row>
    <row r="191" spans="1:7" x14ac:dyDescent="0.25">
      <c r="A191" s="1" t="str">
        <f>IF(ISBLANK('05-09 Thurs'!A22),"",'05-09 Thurs'!A22)</f>
        <v/>
      </c>
      <c r="B191" s="1" t="str">
        <f>IF(ISBLANK('05-09 Thurs'!B22),"",'05-09 Thurs'!B22)</f>
        <v/>
      </c>
      <c r="C191" s="1" t="str">
        <f>IF(ISBLANK('05-09 Thurs'!C22),"",'05-09 Thurs'!C22)</f>
        <v/>
      </c>
      <c r="D191" s="5" t="str">
        <f>IF(ISBLANK('05-09 Thurs'!D22),"",'05-09 Thurs'!D22)</f>
        <v/>
      </c>
      <c r="E191" s="5" t="str">
        <f>IF(ISBLANK('05-09 Thurs'!E22),"",'05-09 Thurs'!E22)</f>
        <v/>
      </c>
      <c r="F191" s="3" t="str">
        <f>IF(ISBLANK('05-09 Thurs'!F22),"",'05-09 Thurs'!F22)</f>
        <v/>
      </c>
      <c r="G191" s="1" t="str">
        <f>IF(ISBLANK('05-09 Thurs'!G22),"",'05-09 Thurs'!G22)</f>
        <v/>
      </c>
    </row>
    <row r="192" spans="1:7" x14ac:dyDescent="0.25">
      <c r="A192" s="1" t="str">
        <f>IF(ISBLANK('05-09 Thurs'!A23),"",'05-09 Thurs'!A23)</f>
        <v/>
      </c>
      <c r="B192" s="1" t="str">
        <f>IF(ISBLANK('05-09 Thurs'!B23),"",'05-09 Thurs'!B23)</f>
        <v/>
      </c>
      <c r="C192" s="1" t="str">
        <f>IF(ISBLANK('05-09 Thurs'!C23),"",'05-09 Thurs'!C23)</f>
        <v/>
      </c>
      <c r="D192" s="5" t="str">
        <f>IF(ISBLANK('05-09 Thurs'!D23),"",'05-09 Thurs'!D23)</f>
        <v/>
      </c>
      <c r="E192" s="5" t="str">
        <f>IF(ISBLANK('05-09 Thurs'!E23),"",'05-09 Thurs'!E23)</f>
        <v/>
      </c>
      <c r="F192" s="3" t="str">
        <f>IF(ISBLANK('05-09 Thurs'!F23),"",'05-09 Thurs'!F23)</f>
        <v/>
      </c>
      <c r="G192" s="1" t="str">
        <f>IF(ISBLANK('05-09 Thurs'!G23),"",'05-09 Thurs'!G23)</f>
        <v/>
      </c>
    </row>
    <row r="193" spans="1:7" x14ac:dyDescent="0.25">
      <c r="A193" s="1" t="str">
        <f>IF(ISBLANK('05-09 Thurs'!A24),"",'05-09 Thurs'!A24)</f>
        <v/>
      </c>
      <c r="B193" s="1" t="str">
        <f>IF(ISBLANK('05-09 Thurs'!B24),"",'05-09 Thurs'!B24)</f>
        <v/>
      </c>
      <c r="C193" s="1" t="str">
        <f>IF(ISBLANK('05-09 Thurs'!C24),"",'05-09 Thurs'!C24)</f>
        <v/>
      </c>
      <c r="D193" s="5" t="str">
        <f>IF(ISBLANK('05-09 Thurs'!D24),"",'05-09 Thurs'!D24)</f>
        <v/>
      </c>
      <c r="E193" s="5" t="str">
        <f>IF(ISBLANK('05-09 Thurs'!E24),"",'05-09 Thurs'!E24)</f>
        <v/>
      </c>
      <c r="F193" s="3" t="str">
        <f>IF(ISBLANK('05-09 Thurs'!F24),"",'05-09 Thurs'!F24)</f>
        <v/>
      </c>
      <c r="G193" s="1" t="str">
        <f>IF(ISBLANK('05-09 Thurs'!G24),"",'05-09 Thurs'!G24)</f>
        <v/>
      </c>
    </row>
    <row r="194" spans="1:7" x14ac:dyDescent="0.25">
      <c r="A194" s="1" t="str">
        <f>IF(ISBLANK('05-09 Thurs'!A25),"",'05-09 Thurs'!A25)</f>
        <v/>
      </c>
      <c r="B194" s="1" t="str">
        <f>IF(ISBLANK('05-09 Thurs'!B25),"",'05-09 Thurs'!B25)</f>
        <v/>
      </c>
      <c r="C194" s="1" t="str">
        <f>IF(ISBLANK('05-09 Thurs'!C25),"",'05-09 Thurs'!C25)</f>
        <v/>
      </c>
      <c r="D194" s="5" t="str">
        <f>IF(ISBLANK('05-09 Thurs'!D25),"",'05-09 Thurs'!D25)</f>
        <v/>
      </c>
      <c r="E194" s="5" t="str">
        <f>IF(ISBLANK('05-09 Thurs'!E25),"",'05-09 Thurs'!E25)</f>
        <v/>
      </c>
      <c r="F194" s="3" t="str">
        <f>IF(ISBLANK('05-09 Thurs'!F25),"",'05-09 Thurs'!F25)</f>
        <v/>
      </c>
      <c r="G194" s="1" t="str">
        <f>IF(ISBLANK('05-09 Thurs'!G25),"",'05-09 Thurs'!G25)</f>
        <v/>
      </c>
    </row>
    <row r="195" spans="1:7" x14ac:dyDescent="0.25">
      <c r="A195" s="1" t="str">
        <f>IF(ISBLANK('05-09 Thurs'!A26),"",'05-09 Thurs'!A26)</f>
        <v/>
      </c>
      <c r="B195" s="1" t="str">
        <f>IF(ISBLANK('05-09 Thurs'!B26),"",'05-09 Thurs'!B26)</f>
        <v/>
      </c>
      <c r="C195" s="1" t="str">
        <f>IF(ISBLANK('05-09 Thurs'!C26),"",'05-09 Thurs'!C26)</f>
        <v/>
      </c>
      <c r="D195" s="5" t="str">
        <f>IF(ISBLANK('05-09 Thurs'!D26),"",'05-09 Thurs'!D26)</f>
        <v/>
      </c>
      <c r="E195" s="5" t="str">
        <f>IF(ISBLANK('05-09 Thurs'!E26),"",'05-09 Thurs'!E26)</f>
        <v/>
      </c>
      <c r="F195" s="3" t="str">
        <f>IF(ISBLANK('05-09 Thurs'!F26),"",'05-09 Thurs'!F26)</f>
        <v/>
      </c>
      <c r="G195" s="1" t="str">
        <f>IF(ISBLANK('05-09 Thurs'!G26),"",'05-09 Thurs'!G26)</f>
        <v/>
      </c>
    </row>
    <row r="196" spans="1:7" x14ac:dyDescent="0.25">
      <c r="A196" s="1" t="str">
        <f>IF(ISBLANK('05-09 Thurs'!A27),"",'05-09 Thurs'!A27)</f>
        <v/>
      </c>
      <c r="B196" s="1" t="str">
        <f>IF(ISBLANK('05-09 Thurs'!B27),"",'05-09 Thurs'!B27)</f>
        <v/>
      </c>
      <c r="C196" s="1" t="str">
        <f>IF(ISBLANK('05-09 Thurs'!C27),"",'05-09 Thurs'!C27)</f>
        <v/>
      </c>
      <c r="D196" s="5" t="str">
        <f>IF(ISBLANK('05-09 Thurs'!D27),"",'05-09 Thurs'!D27)</f>
        <v/>
      </c>
      <c r="E196" s="5" t="str">
        <f>IF(ISBLANK('05-09 Thurs'!E27),"",'05-09 Thurs'!E27)</f>
        <v/>
      </c>
      <c r="F196" s="3" t="str">
        <f>IF(ISBLANK('05-09 Thurs'!F27),"",'05-09 Thurs'!F27)</f>
        <v/>
      </c>
      <c r="G196" s="1" t="str">
        <f>IF(ISBLANK('05-09 Thurs'!G27),"",'05-09 Thurs'!G27)</f>
        <v/>
      </c>
    </row>
    <row r="197" spans="1:7" x14ac:dyDescent="0.25">
      <c r="A197" s="1" t="str">
        <f>IF(ISBLANK('05-09 Thurs'!A28),"",'05-09 Thurs'!A28)</f>
        <v/>
      </c>
      <c r="B197" s="1" t="str">
        <f>IF(ISBLANK('05-09 Thurs'!B28),"",'05-09 Thurs'!B28)</f>
        <v/>
      </c>
      <c r="C197" s="1" t="str">
        <f>IF(ISBLANK('05-09 Thurs'!C28),"",'05-09 Thurs'!C28)</f>
        <v/>
      </c>
      <c r="D197" s="5" t="str">
        <f>IF(ISBLANK('05-09 Thurs'!D28),"",'05-09 Thurs'!D28)</f>
        <v/>
      </c>
      <c r="E197" s="5" t="str">
        <f>IF(ISBLANK('05-09 Thurs'!E28),"",'05-09 Thurs'!E28)</f>
        <v/>
      </c>
      <c r="F197" s="3" t="str">
        <f>IF(ISBLANK('05-09 Thurs'!F28),"",'05-09 Thurs'!F28)</f>
        <v/>
      </c>
      <c r="G197" s="1" t="str">
        <f>IF(ISBLANK('05-09 Thurs'!G28),"",'05-09 Thurs'!G28)</f>
        <v/>
      </c>
    </row>
    <row r="198" spans="1:7" x14ac:dyDescent="0.25">
      <c r="A198" s="1" t="str">
        <f>IF(ISBLANK('05-09 Thurs'!A29),"",'05-09 Thurs'!A29)</f>
        <v/>
      </c>
      <c r="B198" s="1" t="str">
        <f>IF(ISBLANK('05-09 Thurs'!B29),"",'05-09 Thurs'!B29)</f>
        <v/>
      </c>
      <c r="C198" s="1" t="str">
        <f>IF(ISBLANK('05-09 Thurs'!C29),"",'05-09 Thurs'!C29)</f>
        <v/>
      </c>
      <c r="D198" s="5" t="str">
        <f>IF(ISBLANK('05-09 Thurs'!D29),"",'05-09 Thurs'!D29)</f>
        <v/>
      </c>
      <c r="E198" s="5" t="str">
        <f>IF(ISBLANK('05-09 Thurs'!E29),"",'05-09 Thurs'!E29)</f>
        <v/>
      </c>
      <c r="F198" s="3" t="str">
        <f>IF(ISBLANK('05-09 Thurs'!F29),"",'05-09 Thurs'!F29)</f>
        <v/>
      </c>
      <c r="G198" s="1" t="str">
        <f>IF(ISBLANK('05-09 Thurs'!G29),"",'05-09 Thurs'!G29)</f>
        <v/>
      </c>
    </row>
    <row r="199" spans="1:7" x14ac:dyDescent="0.25">
      <c r="A199" s="1" t="str">
        <f>IF(ISBLANK('05-09 Thurs'!A30),"",'05-09 Thurs'!A30)</f>
        <v/>
      </c>
      <c r="B199" s="1" t="str">
        <f>IF(ISBLANK('05-09 Thurs'!B30),"",'05-09 Thurs'!B30)</f>
        <v/>
      </c>
      <c r="C199" s="1" t="str">
        <f>IF(ISBLANK('05-09 Thurs'!C30),"",'05-09 Thurs'!C30)</f>
        <v/>
      </c>
      <c r="D199" s="5" t="str">
        <f>IF(ISBLANK('05-09 Thurs'!D30),"",'05-09 Thurs'!D30)</f>
        <v/>
      </c>
      <c r="E199" s="5" t="str">
        <f>IF(ISBLANK('05-09 Thurs'!E30),"",'05-09 Thurs'!E30)</f>
        <v/>
      </c>
      <c r="F199" s="3" t="str">
        <f>IF(ISBLANK('05-09 Thurs'!F30),"",'05-09 Thurs'!F30)</f>
        <v/>
      </c>
      <c r="G199" s="1" t="str">
        <f>IF(ISBLANK('05-09 Thurs'!G30),"",'05-09 Thurs'!G30)</f>
        <v/>
      </c>
    </row>
    <row r="200" spans="1:7" x14ac:dyDescent="0.25">
      <c r="A200" s="1" t="str">
        <f>IF(ISBLANK('05-09 Thurs'!A31),"",'05-09 Thurs'!A31)</f>
        <v/>
      </c>
      <c r="B200" s="1" t="str">
        <f>IF(ISBLANK('05-09 Thurs'!B31),"",'05-09 Thurs'!B31)</f>
        <v/>
      </c>
      <c r="C200" s="1" t="str">
        <f>IF(ISBLANK('05-09 Thurs'!C31),"",'05-09 Thurs'!C31)</f>
        <v/>
      </c>
      <c r="D200" s="5" t="str">
        <f>IF(ISBLANK('05-09 Thurs'!D31),"",'05-09 Thurs'!D31)</f>
        <v/>
      </c>
      <c r="E200" s="5" t="str">
        <f>IF(ISBLANK('05-09 Thurs'!E31),"",'05-09 Thurs'!E31)</f>
        <v/>
      </c>
      <c r="F200" s="3" t="str">
        <f>IF(ISBLANK('05-09 Thurs'!F31),"",'05-09 Thurs'!F31)</f>
        <v/>
      </c>
      <c r="G200" s="1" t="str">
        <f>IF(ISBLANK('05-09 Thurs'!G31),"",'05-09 Thurs'!G31)</f>
        <v/>
      </c>
    </row>
    <row r="201" spans="1:7" x14ac:dyDescent="0.25">
      <c r="A201" s="1" t="str">
        <f>IF(ISBLANK('05-09 Thurs'!A32),"",'05-09 Thurs'!A32)</f>
        <v/>
      </c>
      <c r="B201" s="1" t="str">
        <f>IF(ISBLANK('05-09 Thurs'!B32),"",'05-09 Thurs'!B32)</f>
        <v/>
      </c>
      <c r="C201" s="1" t="str">
        <f>IF(ISBLANK('05-09 Thurs'!C32),"",'05-09 Thurs'!C32)</f>
        <v/>
      </c>
      <c r="D201" s="5" t="str">
        <f>IF(ISBLANK('05-09 Thurs'!D32),"",'05-09 Thurs'!D32)</f>
        <v/>
      </c>
      <c r="E201" s="5" t="str">
        <f>IF(ISBLANK('05-09 Thurs'!E32),"",'05-09 Thurs'!E32)</f>
        <v/>
      </c>
      <c r="F201" s="3" t="str">
        <f>IF(ISBLANK('05-09 Thurs'!F32),"",'05-09 Thurs'!F32)</f>
        <v/>
      </c>
      <c r="G201" s="1" t="str">
        <f>IF(ISBLANK('05-09 Thurs'!G32),"",'05-09 Thurs'!G32)</f>
        <v/>
      </c>
    </row>
    <row r="202" spans="1:7" x14ac:dyDescent="0.25">
      <c r="A202" s="1" t="str">
        <f>IF(ISBLANK('05-09 Thurs'!A33),"",'05-09 Thurs'!A33)</f>
        <v/>
      </c>
      <c r="B202" s="1" t="str">
        <f>IF(ISBLANK('05-09 Thurs'!B33),"",'05-09 Thurs'!B33)</f>
        <v/>
      </c>
      <c r="C202" s="1" t="str">
        <f>IF(ISBLANK('05-09 Thurs'!C33),"",'05-09 Thurs'!C33)</f>
        <v/>
      </c>
      <c r="D202" s="5" t="str">
        <f>IF(ISBLANK('05-09 Thurs'!D33),"",'05-09 Thurs'!D33)</f>
        <v/>
      </c>
      <c r="E202" s="5" t="str">
        <f>IF(ISBLANK('05-09 Thurs'!E33),"",'05-09 Thurs'!E33)</f>
        <v/>
      </c>
      <c r="F202" s="3" t="str">
        <f>IF(ISBLANK('05-09 Thurs'!F33),"",'05-09 Thurs'!F33)</f>
        <v/>
      </c>
      <c r="G202" s="1" t="str">
        <f>IF(ISBLANK('05-09 Thurs'!G33),"",'05-09 Thurs'!G33)</f>
        <v/>
      </c>
    </row>
    <row r="203" spans="1:7" x14ac:dyDescent="0.25">
      <c r="A203" s="1" t="str">
        <f>IF(ISBLANK('05-09 Thurs'!A34),"",'05-09 Thurs'!A34)</f>
        <v/>
      </c>
      <c r="B203" s="1" t="str">
        <f>IF(ISBLANK('05-09 Thurs'!B34),"",'05-09 Thurs'!B34)</f>
        <v/>
      </c>
      <c r="C203" s="1" t="str">
        <f>IF(ISBLANK('05-09 Thurs'!C34),"",'05-09 Thurs'!C34)</f>
        <v/>
      </c>
      <c r="D203" s="5" t="str">
        <f>IF(ISBLANK('05-09 Thurs'!D34),"",'05-09 Thurs'!D34)</f>
        <v/>
      </c>
      <c r="E203" s="5" t="str">
        <f>IF(ISBLANK('05-09 Thurs'!E34),"",'05-09 Thurs'!E34)</f>
        <v/>
      </c>
      <c r="F203" s="3" t="str">
        <f>IF(ISBLANK('05-09 Thurs'!F34),"",'05-09 Thurs'!F34)</f>
        <v/>
      </c>
      <c r="G203" s="1" t="str">
        <f>IF(ISBLANK('05-09 Thurs'!G34),"",'05-09 Thurs'!G34)</f>
        <v/>
      </c>
    </row>
    <row r="204" spans="1:7" x14ac:dyDescent="0.25">
      <c r="A204" s="1" t="str">
        <f>IF(ISBLANK('05-09 Thurs'!A35),"",'05-09 Thurs'!A35)</f>
        <v/>
      </c>
      <c r="B204" s="1" t="str">
        <f>IF(ISBLANK('05-09 Thurs'!B35),"",'05-09 Thurs'!B35)</f>
        <v/>
      </c>
      <c r="C204" s="1" t="str">
        <f>IF(ISBLANK('05-09 Thurs'!C35),"",'05-09 Thurs'!C35)</f>
        <v/>
      </c>
      <c r="D204" s="5" t="str">
        <f>IF(ISBLANK('05-09 Thurs'!D35),"",'05-09 Thurs'!D35)</f>
        <v/>
      </c>
      <c r="E204" s="5" t="str">
        <f>IF(ISBLANK('05-09 Thurs'!E35),"",'05-09 Thurs'!E35)</f>
        <v/>
      </c>
      <c r="F204" s="3" t="str">
        <f>IF(ISBLANK('05-09 Thurs'!F35),"",'05-09 Thurs'!F35)</f>
        <v/>
      </c>
      <c r="G204" s="1" t="str">
        <f>IF(ISBLANK('05-09 Thurs'!G35),"",'05-09 Thurs'!G35)</f>
        <v/>
      </c>
    </row>
    <row r="205" spans="1:7" x14ac:dyDescent="0.25">
      <c r="A205" s="1" t="str">
        <f>IF(ISBLANK('05-09 Thurs'!A36),"",'05-09 Thurs'!A36)</f>
        <v/>
      </c>
      <c r="B205" s="1" t="str">
        <f>IF(ISBLANK('05-09 Thurs'!B36),"",'05-09 Thurs'!B36)</f>
        <v/>
      </c>
      <c r="C205" s="1" t="str">
        <f>IF(ISBLANK('05-09 Thurs'!C36),"",'05-09 Thurs'!C36)</f>
        <v/>
      </c>
      <c r="D205" s="5" t="str">
        <f>IF(ISBLANK('05-09 Thurs'!D36),"",'05-09 Thurs'!D36)</f>
        <v/>
      </c>
      <c r="E205" s="5" t="str">
        <f>IF(ISBLANK('05-09 Thurs'!E36),"",'05-09 Thurs'!E36)</f>
        <v/>
      </c>
      <c r="F205" s="3" t="str">
        <f>IF(ISBLANK('05-09 Thurs'!F36),"",'05-09 Thurs'!F36)</f>
        <v/>
      </c>
      <c r="G205" s="1" t="str">
        <f>IF(ISBLANK('05-09 Thurs'!G36),"",'05-09 Thurs'!G36)</f>
        <v/>
      </c>
    </row>
    <row r="206" spans="1:7" x14ac:dyDescent="0.25">
      <c r="A206" s="1" t="str">
        <f>IF(ISBLANK('05-09 Thurs'!A37),"",'05-09 Thurs'!A37)</f>
        <v/>
      </c>
      <c r="B206" s="1" t="str">
        <f>IF(ISBLANK('05-09 Thurs'!B37),"",'05-09 Thurs'!B37)</f>
        <v/>
      </c>
      <c r="C206" s="1" t="str">
        <f>IF(ISBLANK('05-09 Thurs'!C37),"",'05-09 Thurs'!C37)</f>
        <v/>
      </c>
      <c r="D206" s="5" t="str">
        <f>IF(ISBLANK('05-09 Thurs'!D37),"",'05-09 Thurs'!D37)</f>
        <v/>
      </c>
      <c r="E206" s="5" t="str">
        <f>IF(ISBLANK('05-09 Thurs'!E37),"",'05-09 Thurs'!E37)</f>
        <v/>
      </c>
      <c r="F206" s="3" t="str">
        <f>IF(ISBLANK('05-09 Thurs'!F37),"",'05-09 Thurs'!F37)</f>
        <v/>
      </c>
      <c r="G206" s="1" t="str">
        <f>IF(ISBLANK('05-09 Thurs'!G37),"",'05-09 Thurs'!G37)</f>
        <v/>
      </c>
    </row>
    <row r="207" spans="1:7" x14ac:dyDescent="0.25">
      <c r="A207" s="1" t="str">
        <f>IF(ISBLANK('05-09 Thurs'!A38),"",'05-09 Thurs'!A38)</f>
        <v/>
      </c>
      <c r="B207" s="1" t="str">
        <f>IF(ISBLANK('05-09 Thurs'!B38),"",'05-09 Thurs'!B38)</f>
        <v/>
      </c>
      <c r="C207" s="1" t="str">
        <f>IF(ISBLANK('05-09 Thurs'!C38),"",'05-09 Thurs'!C38)</f>
        <v/>
      </c>
      <c r="D207" s="5" t="str">
        <f>IF(ISBLANK('05-09 Thurs'!D38),"",'05-09 Thurs'!D38)</f>
        <v/>
      </c>
      <c r="E207" s="5" t="str">
        <f>IF(ISBLANK('05-09 Thurs'!E38),"",'05-09 Thurs'!E38)</f>
        <v/>
      </c>
      <c r="F207" s="3" t="str">
        <f>IF(ISBLANK('05-09 Thurs'!F38),"",'05-09 Thurs'!F38)</f>
        <v/>
      </c>
      <c r="G207" s="1" t="str">
        <f>IF(ISBLANK('05-09 Thurs'!G38),"",'05-09 Thurs'!G38)</f>
        <v/>
      </c>
    </row>
    <row r="208" spans="1:7" x14ac:dyDescent="0.25">
      <c r="A208" s="1" t="str">
        <f>IF(ISBLANK('05-09 Thurs'!A39),"",'05-09 Thurs'!A39)</f>
        <v/>
      </c>
      <c r="B208" s="1" t="str">
        <f>IF(ISBLANK('05-09 Thurs'!B39),"",'05-09 Thurs'!B39)</f>
        <v/>
      </c>
      <c r="C208" s="1" t="str">
        <f>IF(ISBLANK('05-09 Thurs'!C39),"",'05-09 Thurs'!C39)</f>
        <v/>
      </c>
      <c r="D208" s="5" t="str">
        <f>IF(ISBLANK('05-09 Thurs'!D39),"",'05-09 Thurs'!D39)</f>
        <v/>
      </c>
      <c r="E208" s="5" t="str">
        <f>IF(ISBLANK('05-09 Thurs'!E39),"",'05-09 Thurs'!E39)</f>
        <v/>
      </c>
      <c r="F208" s="3" t="str">
        <f>IF(ISBLANK('05-09 Thurs'!F39),"",'05-09 Thurs'!F39)</f>
        <v/>
      </c>
      <c r="G208" s="1" t="str">
        <f>IF(ISBLANK('05-09 Thurs'!G39),"",'05-09 Thurs'!G39)</f>
        <v/>
      </c>
    </row>
    <row r="209" spans="1:7" x14ac:dyDescent="0.25">
      <c r="A209" s="1" t="str">
        <f>IF(ISBLANK('05-09 Thurs'!A40),"",'05-09 Thurs'!A40)</f>
        <v/>
      </c>
      <c r="B209" s="1" t="str">
        <f>IF(ISBLANK('05-09 Thurs'!B40),"",'05-09 Thurs'!B40)</f>
        <v/>
      </c>
      <c r="C209" s="1" t="str">
        <f>IF(ISBLANK('05-09 Thurs'!C40),"",'05-09 Thurs'!C40)</f>
        <v/>
      </c>
      <c r="D209" s="5" t="str">
        <f>IF(ISBLANK('05-09 Thurs'!D40),"",'05-09 Thurs'!D40)</f>
        <v/>
      </c>
      <c r="E209" s="5" t="str">
        <f>IF(ISBLANK('05-09 Thurs'!E40),"",'05-09 Thurs'!E40)</f>
        <v/>
      </c>
      <c r="F209" s="3" t="str">
        <f>IF(ISBLANK('05-09 Thurs'!F40),"",'05-09 Thurs'!F40)</f>
        <v/>
      </c>
      <c r="G209" s="1" t="str">
        <f>IF(ISBLANK('05-09 Thurs'!G40),"",'05-09 Thurs'!G40)</f>
        <v/>
      </c>
    </row>
    <row r="210" spans="1:7" x14ac:dyDescent="0.25">
      <c r="A210" s="1" t="str">
        <f>IF(ISBLANK('05-09 Thurs'!A41),"",'05-09 Thurs'!A41)</f>
        <v/>
      </c>
      <c r="B210" s="1" t="str">
        <f>IF(ISBLANK('05-09 Thurs'!B41),"",'05-09 Thurs'!B41)</f>
        <v/>
      </c>
      <c r="C210" s="1" t="str">
        <f>IF(ISBLANK('05-09 Thurs'!C41),"",'05-09 Thurs'!C41)</f>
        <v/>
      </c>
      <c r="D210" s="5" t="str">
        <f>IF(ISBLANK('05-09 Thurs'!D41),"",'05-09 Thurs'!D41)</f>
        <v/>
      </c>
      <c r="E210" s="5" t="str">
        <f>IF(ISBLANK('05-09 Thurs'!E41),"",'05-09 Thurs'!E41)</f>
        <v/>
      </c>
      <c r="F210" s="3" t="str">
        <f>IF(ISBLANK('05-09 Thurs'!F41),"",'05-09 Thurs'!F41)</f>
        <v/>
      </c>
      <c r="G210" s="1" t="str">
        <f>IF(ISBLANK('05-09 Thurs'!G41),"",'05-09 Thurs'!G41)</f>
        <v/>
      </c>
    </row>
    <row r="211" spans="1:7" x14ac:dyDescent="0.25">
      <c r="A211" s="1" t="str">
        <f>IF(ISBLANK('05-09 Thurs'!A42),"",'05-09 Thurs'!A42)</f>
        <v/>
      </c>
      <c r="B211" s="1" t="str">
        <f>IF(ISBLANK('05-09 Thurs'!B42),"",'05-09 Thurs'!B42)</f>
        <v/>
      </c>
      <c r="C211" s="1" t="str">
        <f>IF(ISBLANK('05-09 Thurs'!C42),"",'05-09 Thurs'!C42)</f>
        <v/>
      </c>
      <c r="D211" s="5" t="str">
        <f>IF(ISBLANK('05-09 Thurs'!D42),"",'05-09 Thurs'!D42)</f>
        <v/>
      </c>
      <c r="E211" s="5" t="str">
        <f>IF(ISBLANK('05-09 Thurs'!E42),"",'05-09 Thurs'!E42)</f>
        <v/>
      </c>
      <c r="F211" s="3" t="str">
        <f>IF(ISBLANK('05-09 Thurs'!F42),"",'05-09 Thurs'!F42)</f>
        <v/>
      </c>
      <c r="G211" s="1" t="str">
        <f>IF(ISBLANK('05-09 Thurs'!G42),"",'05-09 Thurs'!G42)</f>
        <v/>
      </c>
    </row>
    <row r="212" spans="1:7" x14ac:dyDescent="0.25">
      <c r="A212" s="1" t="str">
        <f>IF(ISBLANK('05-10 Fri'!A3),"",'05-10 Fri'!A3)</f>
        <v/>
      </c>
      <c r="B212" s="1" t="str">
        <f>IF(ISBLANK('05-10 Fri'!B3),"",'05-10 Fri'!B3)</f>
        <v/>
      </c>
      <c r="C212" s="1" t="str">
        <f>IF(ISBLANK('05-10 Fri'!C3),"",'05-10 Fri'!C3)</f>
        <v/>
      </c>
      <c r="D212" s="5" t="str">
        <f>IF(ISBLANK('05-10 Fri'!D3),"",'05-10 Fri'!D3)</f>
        <v/>
      </c>
      <c r="E212" s="5" t="str">
        <f>IF(ISBLANK('05-10 Fri'!E3),"",'05-10 Fri'!E3)</f>
        <v/>
      </c>
      <c r="F212" s="3" t="str">
        <f>IF(ISBLANK('05-10 Fri'!F3),"",'05-10 Fri'!F3)</f>
        <v/>
      </c>
      <c r="G212" s="1" t="str">
        <f>IF(ISBLANK('05-10 Fri'!G3),"",'05-10 Fri'!G3)</f>
        <v/>
      </c>
    </row>
    <row r="213" spans="1:7" x14ac:dyDescent="0.25">
      <c r="A213" s="1" t="str">
        <f>IF(ISBLANK('05-10 Fri'!A4),"",'05-10 Fri'!A4)</f>
        <v/>
      </c>
      <c r="B213" s="1" t="str">
        <f>IF(ISBLANK('05-10 Fri'!B4),"",'05-10 Fri'!B4)</f>
        <v/>
      </c>
      <c r="C213" s="1" t="str">
        <f>IF(ISBLANK('05-10 Fri'!C4),"",'05-10 Fri'!C4)</f>
        <v/>
      </c>
      <c r="D213" s="5" t="str">
        <f>IF(ISBLANK('05-10 Fri'!D4),"",'05-10 Fri'!D4)</f>
        <v/>
      </c>
      <c r="E213" s="5" t="str">
        <f>IF(ISBLANK('05-10 Fri'!E4),"",'05-10 Fri'!E4)</f>
        <v/>
      </c>
      <c r="F213" s="3" t="str">
        <f>IF(ISBLANK('05-10 Fri'!F4),"",'05-10 Fri'!F4)</f>
        <v/>
      </c>
      <c r="G213" s="1" t="str">
        <f>IF(ISBLANK('05-10 Fri'!G4),"",'05-10 Fri'!G4)</f>
        <v/>
      </c>
    </row>
    <row r="214" spans="1:7" x14ac:dyDescent="0.25">
      <c r="A214" s="1" t="str">
        <f>IF(ISBLANK('05-10 Fri'!A5),"",'05-10 Fri'!A5)</f>
        <v/>
      </c>
      <c r="B214" s="1" t="str">
        <f>IF(ISBLANK('05-10 Fri'!B5),"",'05-10 Fri'!B5)</f>
        <v/>
      </c>
      <c r="C214" s="1" t="str">
        <f>IF(ISBLANK('05-10 Fri'!C5),"",'05-10 Fri'!C5)</f>
        <v/>
      </c>
      <c r="D214" s="5" t="str">
        <f>IF(ISBLANK('05-10 Fri'!D5),"",'05-10 Fri'!D5)</f>
        <v/>
      </c>
      <c r="E214" s="5" t="str">
        <f>IF(ISBLANK('05-10 Fri'!E5),"",'05-10 Fri'!E5)</f>
        <v/>
      </c>
      <c r="F214" s="3" t="str">
        <f>IF(ISBLANK('05-10 Fri'!F5),"",'05-10 Fri'!F5)</f>
        <v/>
      </c>
      <c r="G214" s="1" t="str">
        <f>IF(ISBLANK('05-10 Fri'!G5),"",'05-10 Fri'!G5)</f>
        <v/>
      </c>
    </row>
    <row r="215" spans="1:7" x14ac:dyDescent="0.25">
      <c r="A215" s="1" t="str">
        <f>IF(ISBLANK('05-10 Fri'!A6),"",'05-10 Fri'!A6)</f>
        <v/>
      </c>
      <c r="B215" s="1" t="str">
        <f>IF(ISBLANK('05-10 Fri'!B6),"",'05-10 Fri'!B6)</f>
        <v/>
      </c>
      <c r="C215" s="1" t="str">
        <f>IF(ISBLANK('05-10 Fri'!C6),"",'05-10 Fri'!C6)</f>
        <v/>
      </c>
      <c r="D215" s="5" t="str">
        <f>IF(ISBLANK('05-10 Fri'!D6),"",'05-10 Fri'!D6)</f>
        <v/>
      </c>
      <c r="E215" s="5" t="str">
        <f>IF(ISBLANK('05-10 Fri'!E6),"",'05-10 Fri'!E6)</f>
        <v/>
      </c>
      <c r="F215" s="3" t="str">
        <f>IF(ISBLANK('05-10 Fri'!F6),"",'05-10 Fri'!F6)</f>
        <v/>
      </c>
      <c r="G215" s="1" t="str">
        <f>IF(ISBLANK('05-10 Fri'!G6),"",'05-10 Fri'!G6)</f>
        <v/>
      </c>
    </row>
    <row r="216" spans="1:7" x14ac:dyDescent="0.25">
      <c r="A216" s="1" t="str">
        <f>IF(ISBLANK('05-10 Fri'!A7),"",'05-10 Fri'!A7)</f>
        <v/>
      </c>
      <c r="B216" s="1" t="str">
        <f>IF(ISBLANK('05-10 Fri'!B7),"",'05-10 Fri'!B7)</f>
        <v/>
      </c>
      <c r="C216" s="1" t="str">
        <f>IF(ISBLANK('05-10 Fri'!C7),"",'05-10 Fri'!C7)</f>
        <v/>
      </c>
      <c r="D216" s="5" t="str">
        <f>IF(ISBLANK('05-10 Fri'!D7),"",'05-10 Fri'!D7)</f>
        <v/>
      </c>
      <c r="E216" s="5" t="str">
        <f>IF(ISBLANK('05-10 Fri'!E7),"",'05-10 Fri'!E7)</f>
        <v/>
      </c>
      <c r="F216" s="3" t="str">
        <f>IF(ISBLANK('05-10 Fri'!F7),"",'05-10 Fri'!F7)</f>
        <v/>
      </c>
      <c r="G216" s="1" t="str">
        <f>IF(ISBLANK('05-10 Fri'!G7),"",'05-10 Fri'!G7)</f>
        <v/>
      </c>
    </row>
    <row r="217" spans="1:7" x14ac:dyDescent="0.25">
      <c r="A217" s="1" t="str">
        <f>IF(ISBLANK('05-10 Fri'!A8),"",'05-10 Fri'!A8)</f>
        <v/>
      </c>
      <c r="B217" s="1" t="str">
        <f>IF(ISBLANK('05-10 Fri'!B8),"",'05-10 Fri'!B8)</f>
        <v/>
      </c>
      <c r="C217" s="1" t="str">
        <f>IF(ISBLANK('05-10 Fri'!C8),"",'05-10 Fri'!C8)</f>
        <v/>
      </c>
      <c r="D217" s="5" t="str">
        <f>IF(ISBLANK('05-10 Fri'!D8),"",'05-10 Fri'!D8)</f>
        <v/>
      </c>
      <c r="E217" s="5" t="str">
        <f>IF(ISBLANK('05-10 Fri'!E8),"",'05-10 Fri'!E8)</f>
        <v/>
      </c>
      <c r="F217" s="3" t="str">
        <f>IF(ISBLANK('05-10 Fri'!F8),"",'05-10 Fri'!F8)</f>
        <v/>
      </c>
      <c r="G217" s="1" t="str">
        <f>IF(ISBLANK('05-10 Fri'!G8),"",'05-10 Fri'!G8)</f>
        <v/>
      </c>
    </row>
    <row r="218" spans="1:7" x14ac:dyDescent="0.25">
      <c r="A218" s="1" t="str">
        <f>IF(ISBLANK('05-10 Fri'!A9),"",'05-10 Fri'!A9)</f>
        <v/>
      </c>
      <c r="B218" s="1" t="str">
        <f>IF(ISBLANK('05-10 Fri'!B9),"",'05-10 Fri'!B9)</f>
        <v/>
      </c>
      <c r="C218" s="1" t="str">
        <f>IF(ISBLANK('05-10 Fri'!C9),"",'05-10 Fri'!C9)</f>
        <v/>
      </c>
      <c r="D218" s="5" t="str">
        <f>IF(ISBLANK('05-10 Fri'!D9),"",'05-10 Fri'!D9)</f>
        <v/>
      </c>
      <c r="E218" s="5" t="str">
        <f>IF(ISBLANK('05-10 Fri'!E9),"",'05-10 Fri'!E9)</f>
        <v/>
      </c>
      <c r="F218" s="3" t="str">
        <f>IF(ISBLANK('05-10 Fri'!F9),"",'05-10 Fri'!F9)</f>
        <v/>
      </c>
      <c r="G218" s="1" t="str">
        <f>IF(ISBLANK('05-10 Fri'!G9),"",'05-10 Fri'!G9)</f>
        <v/>
      </c>
    </row>
    <row r="219" spans="1:7" x14ac:dyDescent="0.25">
      <c r="A219" s="1" t="str">
        <f>IF(ISBLANK('05-10 Fri'!A10),"",'05-10 Fri'!A10)</f>
        <v/>
      </c>
      <c r="B219" s="1" t="str">
        <f>IF(ISBLANK('05-10 Fri'!B10),"",'05-10 Fri'!B10)</f>
        <v/>
      </c>
      <c r="C219" s="1" t="str">
        <f>IF(ISBLANK('05-10 Fri'!C10),"",'05-10 Fri'!C10)</f>
        <v/>
      </c>
      <c r="D219" s="5" t="str">
        <f>IF(ISBLANK('05-10 Fri'!D10),"",'05-10 Fri'!D10)</f>
        <v/>
      </c>
      <c r="E219" s="5" t="str">
        <f>IF(ISBLANK('05-10 Fri'!E10),"",'05-10 Fri'!E10)</f>
        <v/>
      </c>
      <c r="F219" s="3" t="str">
        <f>IF(ISBLANK('05-10 Fri'!F10),"",'05-10 Fri'!F10)</f>
        <v/>
      </c>
      <c r="G219" s="1" t="str">
        <f>IF(ISBLANK('05-10 Fri'!G10),"",'05-10 Fri'!G10)</f>
        <v/>
      </c>
    </row>
    <row r="220" spans="1:7" x14ac:dyDescent="0.25">
      <c r="A220" s="1" t="str">
        <f>IF(ISBLANK('05-10 Fri'!A11),"",'05-10 Fri'!A11)</f>
        <v/>
      </c>
      <c r="B220" s="1" t="str">
        <f>IF(ISBLANK('05-10 Fri'!B11),"",'05-10 Fri'!B11)</f>
        <v/>
      </c>
      <c r="C220" s="1" t="str">
        <f>IF(ISBLANK('05-10 Fri'!C11),"",'05-10 Fri'!C11)</f>
        <v/>
      </c>
      <c r="D220" s="5" t="str">
        <f>IF(ISBLANK('05-10 Fri'!D11),"",'05-10 Fri'!D11)</f>
        <v/>
      </c>
      <c r="E220" s="5" t="str">
        <f>IF(ISBLANK('05-10 Fri'!E11),"",'05-10 Fri'!E11)</f>
        <v/>
      </c>
      <c r="F220" s="3" t="str">
        <f>IF(ISBLANK('05-10 Fri'!F11),"",'05-10 Fri'!F11)</f>
        <v/>
      </c>
      <c r="G220" s="1" t="str">
        <f>IF(ISBLANK('05-10 Fri'!G11),"",'05-10 Fri'!G11)</f>
        <v/>
      </c>
    </row>
    <row r="221" spans="1:7" x14ac:dyDescent="0.25">
      <c r="A221" s="1" t="str">
        <f>IF(ISBLANK('05-10 Fri'!A12),"",'05-10 Fri'!A12)</f>
        <v/>
      </c>
      <c r="B221" s="1" t="str">
        <f>IF(ISBLANK('05-10 Fri'!B12),"",'05-10 Fri'!B12)</f>
        <v/>
      </c>
      <c r="C221" s="1" t="str">
        <f>IF(ISBLANK('05-10 Fri'!C12),"",'05-10 Fri'!C12)</f>
        <v/>
      </c>
      <c r="D221" s="5" t="str">
        <f>IF(ISBLANK('05-10 Fri'!D12),"",'05-10 Fri'!D12)</f>
        <v/>
      </c>
      <c r="E221" s="5" t="str">
        <f>IF(ISBLANK('05-10 Fri'!E12),"",'05-10 Fri'!E12)</f>
        <v/>
      </c>
      <c r="F221" s="3" t="str">
        <f>IF(ISBLANK('05-10 Fri'!F12),"",'05-10 Fri'!F12)</f>
        <v/>
      </c>
      <c r="G221" s="1" t="str">
        <f>IF(ISBLANK('05-10 Fri'!G12),"",'05-10 Fri'!G12)</f>
        <v/>
      </c>
    </row>
    <row r="222" spans="1:7" x14ac:dyDescent="0.25">
      <c r="A222" s="1" t="str">
        <f>IF(ISBLANK('05-10 Fri'!A13),"",'05-10 Fri'!A13)</f>
        <v/>
      </c>
      <c r="B222" s="1" t="str">
        <f>IF(ISBLANK('05-10 Fri'!B13),"",'05-10 Fri'!B13)</f>
        <v/>
      </c>
      <c r="C222" s="1" t="str">
        <f>IF(ISBLANK('05-10 Fri'!C13),"",'05-10 Fri'!C13)</f>
        <v/>
      </c>
      <c r="D222" s="5" t="str">
        <f>IF(ISBLANK('05-10 Fri'!D13),"",'05-10 Fri'!D13)</f>
        <v/>
      </c>
      <c r="E222" s="5" t="str">
        <f>IF(ISBLANK('05-10 Fri'!E13),"",'05-10 Fri'!E13)</f>
        <v/>
      </c>
      <c r="F222" s="3" t="str">
        <f>IF(ISBLANK('05-10 Fri'!F13),"",'05-10 Fri'!F13)</f>
        <v/>
      </c>
      <c r="G222" s="1" t="str">
        <f>IF(ISBLANK('05-10 Fri'!G13),"",'05-10 Fri'!G13)</f>
        <v/>
      </c>
    </row>
    <row r="223" spans="1:7" x14ac:dyDescent="0.25">
      <c r="A223" s="1" t="str">
        <f>IF(ISBLANK('05-10 Fri'!A14),"",'05-10 Fri'!A14)</f>
        <v/>
      </c>
      <c r="B223" s="1" t="str">
        <f>IF(ISBLANK('05-10 Fri'!B14),"",'05-10 Fri'!B14)</f>
        <v/>
      </c>
      <c r="C223" s="1" t="str">
        <f>IF(ISBLANK('05-10 Fri'!C14),"",'05-10 Fri'!C14)</f>
        <v/>
      </c>
      <c r="D223" s="5" t="str">
        <f>IF(ISBLANK('05-10 Fri'!D14),"",'05-10 Fri'!D14)</f>
        <v/>
      </c>
      <c r="E223" s="5" t="str">
        <f>IF(ISBLANK('05-10 Fri'!E14),"",'05-10 Fri'!E14)</f>
        <v/>
      </c>
      <c r="F223" s="3" t="str">
        <f>IF(ISBLANK('05-10 Fri'!F14),"",'05-10 Fri'!F14)</f>
        <v/>
      </c>
      <c r="G223" s="1" t="str">
        <f>IF(ISBLANK('05-10 Fri'!G14),"",'05-10 Fri'!G14)</f>
        <v/>
      </c>
    </row>
    <row r="224" spans="1:7" x14ac:dyDescent="0.25">
      <c r="A224" s="1" t="str">
        <f>IF(ISBLANK('05-10 Fri'!A15),"",'05-10 Fri'!A15)</f>
        <v/>
      </c>
      <c r="B224" s="1" t="str">
        <f>IF(ISBLANK('05-10 Fri'!B15),"",'05-10 Fri'!B15)</f>
        <v/>
      </c>
      <c r="C224" s="1" t="str">
        <f>IF(ISBLANK('05-10 Fri'!C15),"",'05-10 Fri'!C15)</f>
        <v/>
      </c>
      <c r="D224" s="5" t="str">
        <f>IF(ISBLANK('05-10 Fri'!D15),"",'05-10 Fri'!D15)</f>
        <v/>
      </c>
      <c r="E224" s="5" t="str">
        <f>IF(ISBLANK('05-10 Fri'!E15),"",'05-10 Fri'!E15)</f>
        <v/>
      </c>
      <c r="F224" s="3" t="str">
        <f>IF(ISBLANK('05-10 Fri'!F15),"",'05-10 Fri'!F15)</f>
        <v/>
      </c>
      <c r="G224" s="1" t="str">
        <f>IF(ISBLANK('05-10 Fri'!G15),"",'05-10 Fri'!G15)</f>
        <v/>
      </c>
    </row>
    <row r="225" spans="1:7" x14ac:dyDescent="0.25">
      <c r="A225" s="1" t="str">
        <f>IF(ISBLANK('05-10 Fri'!A16),"",'05-10 Fri'!A16)</f>
        <v/>
      </c>
      <c r="B225" s="1" t="str">
        <f>IF(ISBLANK('05-10 Fri'!B16),"",'05-10 Fri'!B16)</f>
        <v/>
      </c>
      <c r="C225" s="1" t="str">
        <f>IF(ISBLANK('05-10 Fri'!C16),"",'05-10 Fri'!C16)</f>
        <v/>
      </c>
      <c r="D225" s="5" t="str">
        <f>IF(ISBLANK('05-10 Fri'!D16),"",'05-10 Fri'!D16)</f>
        <v/>
      </c>
      <c r="E225" s="5" t="str">
        <f>IF(ISBLANK('05-10 Fri'!E16),"",'05-10 Fri'!E16)</f>
        <v/>
      </c>
      <c r="F225" s="3" t="str">
        <f>IF(ISBLANK('05-10 Fri'!F16),"",'05-10 Fri'!F16)</f>
        <v/>
      </c>
      <c r="G225" s="1" t="str">
        <f>IF(ISBLANK('05-10 Fri'!G16),"",'05-10 Fri'!G16)</f>
        <v/>
      </c>
    </row>
    <row r="226" spans="1:7" x14ac:dyDescent="0.25">
      <c r="A226" s="1" t="str">
        <f>IF(ISBLANK('05-10 Fri'!A17),"",'05-10 Fri'!A17)</f>
        <v/>
      </c>
      <c r="B226" s="1" t="str">
        <f>IF(ISBLANK('05-10 Fri'!B17),"",'05-10 Fri'!B17)</f>
        <v/>
      </c>
      <c r="C226" s="1" t="str">
        <f>IF(ISBLANK('05-10 Fri'!C17),"",'05-10 Fri'!C17)</f>
        <v/>
      </c>
      <c r="D226" s="5" t="str">
        <f>IF(ISBLANK('05-10 Fri'!D17),"",'05-10 Fri'!D17)</f>
        <v/>
      </c>
      <c r="E226" s="5" t="str">
        <f>IF(ISBLANK('05-10 Fri'!E17),"",'05-10 Fri'!E17)</f>
        <v/>
      </c>
      <c r="F226" s="3" t="str">
        <f>IF(ISBLANK('05-10 Fri'!F17),"",'05-10 Fri'!F17)</f>
        <v/>
      </c>
      <c r="G226" s="1" t="str">
        <f>IF(ISBLANK('05-10 Fri'!G17),"",'05-10 Fri'!G17)</f>
        <v/>
      </c>
    </row>
    <row r="227" spans="1:7" x14ac:dyDescent="0.25">
      <c r="A227" s="1" t="str">
        <f>IF(ISBLANK('05-10 Fri'!A18),"",'05-10 Fri'!A18)</f>
        <v/>
      </c>
      <c r="B227" s="1" t="str">
        <f>IF(ISBLANK('05-10 Fri'!B18),"",'05-10 Fri'!B18)</f>
        <v/>
      </c>
      <c r="C227" s="1" t="str">
        <f>IF(ISBLANK('05-10 Fri'!C18),"",'05-10 Fri'!C18)</f>
        <v/>
      </c>
      <c r="D227" s="5" t="str">
        <f>IF(ISBLANK('05-10 Fri'!D18),"",'05-10 Fri'!D18)</f>
        <v/>
      </c>
      <c r="E227" s="5" t="str">
        <f>IF(ISBLANK('05-10 Fri'!E18),"",'05-10 Fri'!E18)</f>
        <v/>
      </c>
      <c r="F227" s="3" t="str">
        <f>IF(ISBLANK('05-10 Fri'!F18),"",'05-10 Fri'!F18)</f>
        <v/>
      </c>
      <c r="G227" s="1" t="str">
        <f>IF(ISBLANK('05-10 Fri'!G18),"",'05-10 Fri'!G18)</f>
        <v/>
      </c>
    </row>
    <row r="228" spans="1:7" x14ac:dyDescent="0.25">
      <c r="A228" s="1" t="str">
        <f>IF(ISBLANK('05-10 Fri'!A19),"",'05-10 Fri'!A19)</f>
        <v/>
      </c>
      <c r="B228" s="1" t="str">
        <f>IF(ISBLANK('05-10 Fri'!B19),"",'05-10 Fri'!B19)</f>
        <v/>
      </c>
      <c r="C228" s="1" t="str">
        <f>IF(ISBLANK('05-10 Fri'!C19),"",'05-10 Fri'!C19)</f>
        <v/>
      </c>
      <c r="D228" s="5" t="str">
        <f>IF(ISBLANK('05-10 Fri'!D19),"",'05-10 Fri'!D19)</f>
        <v/>
      </c>
      <c r="E228" s="5" t="str">
        <f>IF(ISBLANK('05-10 Fri'!E19),"",'05-10 Fri'!E19)</f>
        <v/>
      </c>
      <c r="F228" s="3" t="str">
        <f>IF(ISBLANK('05-10 Fri'!F19),"",'05-10 Fri'!F19)</f>
        <v/>
      </c>
      <c r="G228" s="1" t="str">
        <f>IF(ISBLANK('05-10 Fri'!G19),"",'05-10 Fri'!G19)</f>
        <v/>
      </c>
    </row>
    <row r="229" spans="1:7" x14ac:dyDescent="0.25">
      <c r="A229" s="1" t="str">
        <f>IF(ISBLANK('05-10 Fri'!A20),"",'05-10 Fri'!A20)</f>
        <v/>
      </c>
      <c r="B229" s="1" t="str">
        <f>IF(ISBLANK('05-10 Fri'!B20),"",'05-10 Fri'!B20)</f>
        <v/>
      </c>
      <c r="C229" s="1" t="str">
        <f>IF(ISBLANK('05-10 Fri'!C20),"",'05-10 Fri'!C20)</f>
        <v/>
      </c>
      <c r="D229" s="5" t="str">
        <f>IF(ISBLANK('05-10 Fri'!D20),"",'05-10 Fri'!D20)</f>
        <v/>
      </c>
      <c r="E229" s="5" t="str">
        <f>IF(ISBLANK('05-10 Fri'!E20),"",'05-10 Fri'!E20)</f>
        <v/>
      </c>
      <c r="F229" s="3" t="str">
        <f>IF(ISBLANK('05-10 Fri'!F20),"",'05-10 Fri'!F20)</f>
        <v/>
      </c>
      <c r="G229" s="1" t="str">
        <f>IF(ISBLANK('05-10 Fri'!G20),"",'05-10 Fri'!G20)</f>
        <v/>
      </c>
    </row>
    <row r="230" spans="1:7" x14ac:dyDescent="0.25">
      <c r="A230" s="1" t="str">
        <f>IF(ISBLANK('05-10 Fri'!A21),"",'05-10 Fri'!A21)</f>
        <v/>
      </c>
      <c r="B230" s="1" t="str">
        <f>IF(ISBLANK('05-10 Fri'!B21),"",'05-10 Fri'!B21)</f>
        <v/>
      </c>
      <c r="C230" s="1" t="str">
        <f>IF(ISBLANK('05-10 Fri'!C21),"",'05-10 Fri'!C21)</f>
        <v/>
      </c>
      <c r="D230" s="5" t="str">
        <f>IF(ISBLANK('05-10 Fri'!D21),"",'05-10 Fri'!D21)</f>
        <v/>
      </c>
      <c r="E230" s="5" t="str">
        <f>IF(ISBLANK('05-10 Fri'!E21),"",'05-10 Fri'!E21)</f>
        <v/>
      </c>
      <c r="F230" s="3" t="str">
        <f>IF(ISBLANK('05-10 Fri'!F21),"",'05-10 Fri'!F21)</f>
        <v/>
      </c>
      <c r="G230" s="1" t="str">
        <f>IF(ISBLANK('05-10 Fri'!G21),"",'05-10 Fri'!G21)</f>
        <v/>
      </c>
    </row>
    <row r="231" spans="1:7" x14ac:dyDescent="0.25">
      <c r="A231" s="1" t="str">
        <f>IF(ISBLANK('05-10 Fri'!A22),"",'05-10 Fri'!A22)</f>
        <v/>
      </c>
      <c r="B231" s="1" t="str">
        <f>IF(ISBLANK('05-10 Fri'!B22),"",'05-10 Fri'!B22)</f>
        <v/>
      </c>
      <c r="C231" s="1" t="str">
        <f>IF(ISBLANK('05-10 Fri'!C22),"",'05-10 Fri'!C22)</f>
        <v/>
      </c>
      <c r="D231" s="5" t="str">
        <f>IF(ISBLANK('05-10 Fri'!D22),"",'05-10 Fri'!D22)</f>
        <v/>
      </c>
      <c r="E231" s="5" t="str">
        <f>IF(ISBLANK('05-10 Fri'!E22),"",'05-10 Fri'!E22)</f>
        <v/>
      </c>
      <c r="F231" s="3" t="str">
        <f>IF(ISBLANK('05-10 Fri'!F22),"",'05-10 Fri'!F22)</f>
        <v/>
      </c>
      <c r="G231" s="1" t="str">
        <f>IF(ISBLANK('05-10 Fri'!G22),"",'05-10 Fri'!G22)</f>
        <v/>
      </c>
    </row>
    <row r="232" spans="1:7" x14ac:dyDescent="0.25">
      <c r="A232" s="1" t="str">
        <f>IF(ISBLANK('05-10 Fri'!A23),"",'05-10 Fri'!A23)</f>
        <v/>
      </c>
      <c r="B232" s="1" t="str">
        <f>IF(ISBLANK('05-10 Fri'!B23),"",'05-10 Fri'!B23)</f>
        <v/>
      </c>
      <c r="C232" s="1" t="str">
        <f>IF(ISBLANK('05-10 Fri'!C23),"",'05-10 Fri'!C23)</f>
        <v/>
      </c>
      <c r="D232" s="5" t="str">
        <f>IF(ISBLANK('05-10 Fri'!D23),"",'05-10 Fri'!D23)</f>
        <v/>
      </c>
      <c r="E232" s="5" t="str">
        <f>IF(ISBLANK('05-10 Fri'!E23),"",'05-10 Fri'!E23)</f>
        <v/>
      </c>
      <c r="F232" s="3" t="str">
        <f>IF(ISBLANK('05-10 Fri'!F23),"",'05-10 Fri'!F23)</f>
        <v/>
      </c>
      <c r="G232" s="1" t="str">
        <f>IF(ISBLANK('05-10 Fri'!G23),"",'05-10 Fri'!G23)</f>
        <v/>
      </c>
    </row>
    <row r="233" spans="1:7" x14ac:dyDescent="0.25">
      <c r="A233" s="1" t="str">
        <f>IF(ISBLANK('05-10 Fri'!A24),"",'05-10 Fri'!A24)</f>
        <v/>
      </c>
      <c r="B233" s="1" t="str">
        <f>IF(ISBLANK('05-10 Fri'!B24),"",'05-10 Fri'!B24)</f>
        <v/>
      </c>
      <c r="C233" s="1" t="str">
        <f>IF(ISBLANK('05-10 Fri'!C24),"",'05-10 Fri'!C24)</f>
        <v/>
      </c>
      <c r="D233" s="5" t="str">
        <f>IF(ISBLANK('05-10 Fri'!D24),"",'05-10 Fri'!D24)</f>
        <v/>
      </c>
      <c r="E233" s="5" t="str">
        <f>IF(ISBLANK('05-10 Fri'!E24),"",'05-10 Fri'!E24)</f>
        <v/>
      </c>
      <c r="F233" s="3" t="str">
        <f>IF(ISBLANK('05-10 Fri'!F24),"",'05-10 Fri'!F24)</f>
        <v/>
      </c>
      <c r="G233" s="1" t="str">
        <f>IF(ISBLANK('05-10 Fri'!G24),"",'05-10 Fri'!G24)</f>
        <v/>
      </c>
    </row>
    <row r="234" spans="1:7" x14ac:dyDescent="0.25">
      <c r="A234" s="1" t="str">
        <f>IF(ISBLANK('05-10 Fri'!A25),"",'05-10 Fri'!A25)</f>
        <v/>
      </c>
      <c r="B234" s="1" t="str">
        <f>IF(ISBLANK('05-10 Fri'!B25),"",'05-10 Fri'!B25)</f>
        <v/>
      </c>
      <c r="C234" s="1" t="str">
        <f>IF(ISBLANK('05-10 Fri'!C25),"",'05-10 Fri'!C25)</f>
        <v/>
      </c>
      <c r="D234" s="5" t="str">
        <f>IF(ISBLANK('05-10 Fri'!D25),"",'05-10 Fri'!D25)</f>
        <v/>
      </c>
      <c r="E234" s="5" t="str">
        <f>IF(ISBLANK('05-10 Fri'!E25),"",'05-10 Fri'!E25)</f>
        <v/>
      </c>
      <c r="F234" s="3" t="str">
        <f>IF(ISBLANK('05-10 Fri'!F25),"",'05-10 Fri'!F25)</f>
        <v/>
      </c>
      <c r="G234" s="1" t="str">
        <f>IF(ISBLANK('05-10 Fri'!G25),"",'05-10 Fri'!G25)</f>
        <v/>
      </c>
    </row>
    <row r="235" spans="1:7" x14ac:dyDescent="0.25">
      <c r="A235" s="1" t="str">
        <f>IF(ISBLANK('05-10 Fri'!A26),"",'05-10 Fri'!A26)</f>
        <v/>
      </c>
      <c r="B235" s="1" t="str">
        <f>IF(ISBLANK('05-10 Fri'!B26),"",'05-10 Fri'!B26)</f>
        <v/>
      </c>
      <c r="C235" s="1" t="str">
        <f>IF(ISBLANK('05-10 Fri'!C26),"",'05-10 Fri'!C26)</f>
        <v/>
      </c>
      <c r="D235" s="5" t="str">
        <f>IF(ISBLANK('05-10 Fri'!D26),"",'05-10 Fri'!D26)</f>
        <v/>
      </c>
      <c r="E235" s="5" t="str">
        <f>IF(ISBLANK('05-10 Fri'!E26),"",'05-10 Fri'!E26)</f>
        <v/>
      </c>
      <c r="F235" s="3" t="str">
        <f>IF(ISBLANK('05-10 Fri'!F26),"",'05-10 Fri'!F26)</f>
        <v/>
      </c>
      <c r="G235" s="1" t="str">
        <f>IF(ISBLANK('05-10 Fri'!G26),"",'05-10 Fri'!G26)</f>
        <v/>
      </c>
    </row>
    <row r="236" spans="1:7" x14ac:dyDescent="0.25">
      <c r="A236" s="1" t="str">
        <f>IF(ISBLANK('05-10 Fri'!A27),"",'05-10 Fri'!A27)</f>
        <v/>
      </c>
      <c r="B236" s="1" t="str">
        <f>IF(ISBLANK('05-10 Fri'!B27),"",'05-10 Fri'!B27)</f>
        <v/>
      </c>
      <c r="C236" s="1" t="str">
        <f>IF(ISBLANK('05-10 Fri'!C27),"",'05-10 Fri'!C27)</f>
        <v/>
      </c>
      <c r="D236" s="5" t="str">
        <f>IF(ISBLANK('05-10 Fri'!D27),"",'05-10 Fri'!D27)</f>
        <v/>
      </c>
      <c r="E236" s="5" t="str">
        <f>IF(ISBLANK('05-10 Fri'!E27),"",'05-10 Fri'!E27)</f>
        <v/>
      </c>
      <c r="F236" s="3" t="str">
        <f>IF(ISBLANK('05-10 Fri'!F27),"",'05-10 Fri'!F27)</f>
        <v/>
      </c>
      <c r="G236" s="1" t="str">
        <f>IF(ISBLANK('05-10 Fri'!G27),"",'05-10 Fri'!G27)</f>
        <v/>
      </c>
    </row>
    <row r="237" spans="1:7" x14ac:dyDescent="0.25">
      <c r="A237" s="1" t="str">
        <f>IF(ISBLANK('05-10 Fri'!A28),"",'05-10 Fri'!A28)</f>
        <v/>
      </c>
      <c r="B237" s="1" t="str">
        <f>IF(ISBLANK('05-10 Fri'!B28),"",'05-10 Fri'!B28)</f>
        <v/>
      </c>
      <c r="C237" s="1" t="str">
        <f>IF(ISBLANK('05-10 Fri'!C28),"",'05-10 Fri'!C28)</f>
        <v/>
      </c>
      <c r="D237" s="5" t="str">
        <f>IF(ISBLANK('05-10 Fri'!D28),"",'05-10 Fri'!D28)</f>
        <v/>
      </c>
      <c r="E237" s="5" t="str">
        <f>IF(ISBLANK('05-10 Fri'!E28),"",'05-10 Fri'!E28)</f>
        <v/>
      </c>
      <c r="F237" s="3" t="str">
        <f>IF(ISBLANK('05-10 Fri'!F28),"",'05-10 Fri'!F28)</f>
        <v/>
      </c>
      <c r="G237" s="1" t="str">
        <f>IF(ISBLANK('05-10 Fri'!G28),"",'05-10 Fri'!G28)</f>
        <v/>
      </c>
    </row>
    <row r="238" spans="1:7" x14ac:dyDescent="0.25">
      <c r="A238" s="1" t="str">
        <f>IF(ISBLANK('05-10 Fri'!A29),"",'05-10 Fri'!A29)</f>
        <v/>
      </c>
      <c r="B238" s="1" t="str">
        <f>IF(ISBLANK('05-10 Fri'!B29),"",'05-10 Fri'!B29)</f>
        <v/>
      </c>
      <c r="C238" s="1" t="str">
        <f>IF(ISBLANK('05-10 Fri'!C29),"",'05-10 Fri'!C29)</f>
        <v/>
      </c>
      <c r="D238" s="5" t="str">
        <f>IF(ISBLANK('05-10 Fri'!D29),"",'05-10 Fri'!D29)</f>
        <v/>
      </c>
      <c r="E238" s="5" t="str">
        <f>IF(ISBLANK('05-10 Fri'!E29),"",'05-10 Fri'!E29)</f>
        <v/>
      </c>
      <c r="F238" s="3" t="str">
        <f>IF(ISBLANK('05-10 Fri'!F29),"",'05-10 Fri'!F29)</f>
        <v/>
      </c>
      <c r="G238" s="1" t="str">
        <f>IF(ISBLANK('05-10 Fri'!G29),"",'05-10 Fri'!G29)</f>
        <v/>
      </c>
    </row>
    <row r="239" spans="1:7" x14ac:dyDescent="0.25">
      <c r="A239" s="1" t="str">
        <f>IF(ISBLANK('05-10 Fri'!A30),"",'05-10 Fri'!A30)</f>
        <v/>
      </c>
      <c r="B239" s="1" t="str">
        <f>IF(ISBLANK('05-10 Fri'!B30),"",'05-10 Fri'!B30)</f>
        <v/>
      </c>
      <c r="C239" s="1" t="str">
        <f>IF(ISBLANK('05-10 Fri'!C30),"",'05-10 Fri'!C30)</f>
        <v/>
      </c>
      <c r="D239" s="5" t="str">
        <f>IF(ISBLANK('05-10 Fri'!D30),"",'05-10 Fri'!D30)</f>
        <v/>
      </c>
      <c r="E239" s="5" t="str">
        <f>IF(ISBLANK('05-10 Fri'!E30),"",'05-10 Fri'!E30)</f>
        <v/>
      </c>
      <c r="F239" s="3" t="str">
        <f>IF(ISBLANK('05-10 Fri'!F30),"",'05-10 Fri'!F30)</f>
        <v/>
      </c>
      <c r="G239" s="1" t="str">
        <f>IF(ISBLANK('05-10 Fri'!G30),"",'05-10 Fri'!G30)</f>
        <v/>
      </c>
    </row>
    <row r="240" spans="1:7" x14ac:dyDescent="0.25">
      <c r="A240" s="1" t="str">
        <f>IF(ISBLANK('05-10 Fri'!A31),"",'05-10 Fri'!A31)</f>
        <v/>
      </c>
      <c r="B240" s="1" t="str">
        <f>IF(ISBLANK('05-10 Fri'!B31),"",'05-10 Fri'!B31)</f>
        <v/>
      </c>
      <c r="C240" s="1" t="str">
        <f>IF(ISBLANK('05-10 Fri'!C31),"",'05-10 Fri'!C31)</f>
        <v/>
      </c>
      <c r="D240" s="5" t="str">
        <f>IF(ISBLANK('05-10 Fri'!D31),"",'05-10 Fri'!D31)</f>
        <v/>
      </c>
      <c r="E240" s="5" t="str">
        <f>IF(ISBLANK('05-10 Fri'!E31),"",'05-10 Fri'!E31)</f>
        <v/>
      </c>
      <c r="F240" s="3" t="str">
        <f>IF(ISBLANK('05-10 Fri'!F31),"",'05-10 Fri'!F31)</f>
        <v/>
      </c>
      <c r="G240" s="1" t="str">
        <f>IF(ISBLANK('05-10 Fri'!G31),"",'05-10 Fri'!G31)</f>
        <v/>
      </c>
    </row>
    <row r="241" spans="1:7" x14ac:dyDescent="0.25">
      <c r="A241" s="1" t="str">
        <f>IF(ISBLANK('05-10 Fri'!A32),"",'05-10 Fri'!A32)</f>
        <v/>
      </c>
      <c r="B241" s="1" t="str">
        <f>IF(ISBLANK('05-10 Fri'!B32),"",'05-10 Fri'!B32)</f>
        <v/>
      </c>
      <c r="C241" s="1" t="str">
        <f>IF(ISBLANK('05-10 Fri'!C32),"",'05-10 Fri'!C32)</f>
        <v/>
      </c>
      <c r="D241" s="5" t="str">
        <f>IF(ISBLANK('05-10 Fri'!D32),"",'05-10 Fri'!D32)</f>
        <v/>
      </c>
      <c r="E241" s="5" t="str">
        <f>IF(ISBLANK('05-10 Fri'!E32),"",'05-10 Fri'!E32)</f>
        <v/>
      </c>
      <c r="F241" s="3" t="str">
        <f>IF(ISBLANK('05-10 Fri'!F32),"",'05-10 Fri'!F32)</f>
        <v/>
      </c>
      <c r="G241" s="1" t="str">
        <f>IF(ISBLANK('05-10 Fri'!G32),"",'05-10 Fri'!G32)</f>
        <v/>
      </c>
    </row>
    <row r="242" spans="1:7" x14ac:dyDescent="0.25">
      <c r="A242" s="1" t="str">
        <f>IF(ISBLANK('05-10 Fri'!A33),"",'05-10 Fri'!A33)</f>
        <v/>
      </c>
      <c r="B242" s="1" t="str">
        <f>IF(ISBLANK('05-10 Fri'!B33),"",'05-10 Fri'!B33)</f>
        <v/>
      </c>
      <c r="C242" s="1" t="str">
        <f>IF(ISBLANK('05-10 Fri'!C33),"",'05-10 Fri'!C33)</f>
        <v/>
      </c>
      <c r="D242" s="5" t="str">
        <f>IF(ISBLANK('05-10 Fri'!D33),"",'05-10 Fri'!D33)</f>
        <v/>
      </c>
      <c r="E242" s="5" t="str">
        <f>IF(ISBLANK('05-10 Fri'!E33),"",'05-10 Fri'!E33)</f>
        <v/>
      </c>
      <c r="F242" s="3" t="str">
        <f>IF(ISBLANK('05-10 Fri'!F33),"",'05-10 Fri'!F33)</f>
        <v/>
      </c>
      <c r="G242" s="1" t="str">
        <f>IF(ISBLANK('05-10 Fri'!G33),"",'05-10 Fri'!G33)</f>
        <v/>
      </c>
    </row>
    <row r="243" spans="1:7" x14ac:dyDescent="0.25">
      <c r="A243" s="1" t="str">
        <f>IF(ISBLANK('05-10 Fri'!A34),"",'05-10 Fri'!A34)</f>
        <v/>
      </c>
      <c r="B243" s="1" t="str">
        <f>IF(ISBLANK('05-10 Fri'!B34),"",'05-10 Fri'!B34)</f>
        <v/>
      </c>
      <c r="C243" s="1" t="str">
        <f>IF(ISBLANK('05-10 Fri'!C34),"",'05-10 Fri'!C34)</f>
        <v/>
      </c>
      <c r="D243" s="5" t="str">
        <f>IF(ISBLANK('05-10 Fri'!D34),"",'05-10 Fri'!D34)</f>
        <v/>
      </c>
      <c r="E243" s="5" t="str">
        <f>IF(ISBLANK('05-10 Fri'!E34),"",'05-10 Fri'!E34)</f>
        <v/>
      </c>
      <c r="F243" s="3" t="str">
        <f>IF(ISBLANK('05-10 Fri'!F34),"",'05-10 Fri'!F34)</f>
        <v/>
      </c>
      <c r="G243" s="1" t="str">
        <f>IF(ISBLANK('05-10 Fri'!G34),"",'05-10 Fri'!G34)</f>
        <v/>
      </c>
    </row>
    <row r="244" spans="1:7" x14ac:dyDescent="0.25">
      <c r="A244" s="1" t="str">
        <f>IF(ISBLANK('05-10 Fri'!A35),"",'05-10 Fri'!A35)</f>
        <v/>
      </c>
      <c r="B244" s="1" t="str">
        <f>IF(ISBLANK('05-10 Fri'!B35),"",'05-10 Fri'!B35)</f>
        <v/>
      </c>
      <c r="C244" s="1" t="str">
        <f>IF(ISBLANK('05-10 Fri'!C35),"",'05-10 Fri'!C35)</f>
        <v/>
      </c>
      <c r="D244" s="5" t="str">
        <f>IF(ISBLANK('05-10 Fri'!D35),"",'05-10 Fri'!D35)</f>
        <v/>
      </c>
      <c r="E244" s="5" t="str">
        <f>IF(ISBLANK('05-10 Fri'!E35),"",'05-10 Fri'!E35)</f>
        <v/>
      </c>
      <c r="F244" s="3" t="str">
        <f>IF(ISBLANK('05-10 Fri'!F35),"",'05-10 Fri'!F35)</f>
        <v/>
      </c>
      <c r="G244" s="1" t="str">
        <f>IF(ISBLANK('05-10 Fri'!G35),"",'05-10 Fri'!G35)</f>
        <v/>
      </c>
    </row>
    <row r="245" spans="1:7" x14ac:dyDescent="0.25">
      <c r="A245" s="1" t="str">
        <f>IF(ISBLANK('05-10 Fri'!A36),"",'05-10 Fri'!A36)</f>
        <v/>
      </c>
      <c r="B245" s="1" t="str">
        <f>IF(ISBLANK('05-10 Fri'!B36),"",'05-10 Fri'!B36)</f>
        <v/>
      </c>
      <c r="C245" s="1" t="str">
        <f>IF(ISBLANK('05-10 Fri'!C36),"",'05-10 Fri'!C36)</f>
        <v/>
      </c>
      <c r="D245" s="5" t="str">
        <f>IF(ISBLANK('05-10 Fri'!D36),"",'05-10 Fri'!D36)</f>
        <v/>
      </c>
      <c r="E245" s="5" t="str">
        <f>IF(ISBLANK('05-10 Fri'!E36),"",'05-10 Fri'!E36)</f>
        <v/>
      </c>
      <c r="F245" s="3" t="str">
        <f>IF(ISBLANK('05-10 Fri'!F36),"",'05-10 Fri'!F36)</f>
        <v/>
      </c>
      <c r="G245" s="1" t="str">
        <f>IF(ISBLANK('05-10 Fri'!G36),"",'05-10 Fri'!G36)</f>
        <v/>
      </c>
    </row>
    <row r="246" spans="1:7" x14ac:dyDescent="0.25">
      <c r="A246" s="1" t="str">
        <f>IF(ISBLANK('05-10 Fri'!A37),"",'05-10 Fri'!A37)</f>
        <v/>
      </c>
      <c r="B246" s="1" t="str">
        <f>IF(ISBLANK('05-10 Fri'!B37),"",'05-10 Fri'!B37)</f>
        <v/>
      </c>
      <c r="C246" s="1" t="str">
        <f>IF(ISBLANK('05-10 Fri'!C37),"",'05-10 Fri'!C37)</f>
        <v/>
      </c>
      <c r="D246" s="5" t="str">
        <f>IF(ISBLANK('05-10 Fri'!D37),"",'05-10 Fri'!D37)</f>
        <v/>
      </c>
      <c r="E246" s="5" t="str">
        <f>IF(ISBLANK('05-10 Fri'!E37),"",'05-10 Fri'!E37)</f>
        <v/>
      </c>
      <c r="F246" s="3" t="str">
        <f>IF(ISBLANK('05-10 Fri'!F37),"",'05-10 Fri'!F37)</f>
        <v/>
      </c>
      <c r="G246" s="1" t="str">
        <f>IF(ISBLANK('05-10 Fri'!G37),"",'05-10 Fri'!G37)</f>
        <v/>
      </c>
    </row>
    <row r="247" spans="1:7" x14ac:dyDescent="0.25">
      <c r="A247" s="1" t="str">
        <f>IF(ISBLANK('05-10 Fri'!A38),"",'05-10 Fri'!A38)</f>
        <v/>
      </c>
      <c r="B247" s="1" t="str">
        <f>IF(ISBLANK('05-10 Fri'!B38),"",'05-10 Fri'!B38)</f>
        <v/>
      </c>
      <c r="C247" s="1" t="str">
        <f>IF(ISBLANK('05-10 Fri'!C38),"",'05-10 Fri'!C38)</f>
        <v/>
      </c>
      <c r="D247" s="5" t="str">
        <f>IF(ISBLANK('05-10 Fri'!D38),"",'05-10 Fri'!D38)</f>
        <v/>
      </c>
      <c r="E247" s="5" t="str">
        <f>IF(ISBLANK('05-10 Fri'!E38),"",'05-10 Fri'!E38)</f>
        <v/>
      </c>
      <c r="F247" s="3" t="str">
        <f>IF(ISBLANK('05-10 Fri'!F38),"",'05-10 Fri'!F38)</f>
        <v/>
      </c>
      <c r="G247" s="1" t="str">
        <f>IF(ISBLANK('05-10 Fri'!G38),"",'05-10 Fri'!G38)</f>
        <v/>
      </c>
    </row>
    <row r="248" spans="1:7" x14ac:dyDescent="0.25">
      <c r="A248" s="1" t="str">
        <f>IF(ISBLANK('05-10 Fri'!A39),"",'05-10 Fri'!A39)</f>
        <v/>
      </c>
      <c r="B248" s="1" t="str">
        <f>IF(ISBLANK('05-10 Fri'!B39),"",'05-10 Fri'!B39)</f>
        <v/>
      </c>
      <c r="C248" s="1" t="str">
        <f>IF(ISBLANK('05-10 Fri'!C39),"",'05-10 Fri'!C39)</f>
        <v/>
      </c>
      <c r="D248" s="5" t="str">
        <f>IF(ISBLANK('05-10 Fri'!D39),"",'05-10 Fri'!D39)</f>
        <v/>
      </c>
      <c r="E248" s="5" t="str">
        <f>IF(ISBLANK('05-10 Fri'!E39),"",'05-10 Fri'!E39)</f>
        <v/>
      </c>
      <c r="F248" s="3" t="str">
        <f>IF(ISBLANK('05-10 Fri'!F39),"",'05-10 Fri'!F39)</f>
        <v/>
      </c>
      <c r="G248" s="1" t="str">
        <f>IF(ISBLANK('05-10 Fri'!G39),"",'05-10 Fri'!G39)</f>
        <v/>
      </c>
    </row>
    <row r="249" spans="1:7" x14ac:dyDescent="0.25">
      <c r="A249" s="1" t="str">
        <f>IF(ISBLANK('05-10 Fri'!A40),"",'05-10 Fri'!A40)</f>
        <v/>
      </c>
      <c r="B249" s="1" t="str">
        <f>IF(ISBLANK('05-10 Fri'!B40),"",'05-10 Fri'!B40)</f>
        <v/>
      </c>
      <c r="C249" s="1" t="str">
        <f>IF(ISBLANK('05-10 Fri'!C40),"",'05-10 Fri'!C40)</f>
        <v/>
      </c>
      <c r="D249" s="5" t="str">
        <f>IF(ISBLANK('05-10 Fri'!D40),"",'05-10 Fri'!D40)</f>
        <v/>
      </c>
      <c r="E249" s="5" t="str">
        <f>IF(ISBLANK('05-10 Fri'!E40),"",'05-10 Fri'!E40)</f>
        <v/>
      </c>
      <c r="F249" s="3" t="str">
        <f>IF(ISBLANK('05-10 Fri'!F40),"",'05-10 Fri'!F40)</f>
        <v/>
      </c>
      <c r="G249" s="1" t="str">
        <f>IF(ISBLANK('05-10 Fri'!G40),"",'05-10 Fri'!G40)</f>
        <v/>
      </c>
    </row>
    <row r="250" spans="1:7" x14ac:dyDescent="0.25">
      <c r="A250" s="1" t="str">
        <f>IF(ISBLANK('05-10 Fri'!A41),"",'05-10 Fri'!A41)</f>
        <v/>
      </c>
      <c r="B250" s="1" t="str">
        <f>IF(ISBLANK('05-10 Fri'!B41),"",'05-10 Fri'!B41)</f>
        <v/>
      </c>
      <c r="C250" s="1" t="str">
        <f>IF(ISBLANK('05-10 Fri'!C41),"",'05-10 Fri'!C41)</f>
        <v/>
      </c>
      <c r="D250" s="5" t="str">
        <f>IF(ISBLANK('05-10 Fri'!D41),"",'05-10 Fri'!D41)</f>
        <v/>
      </c>
      <c r="E250" s="5" t="str">
        <f>IF(ISBLANK('05-10 Fri'!E41),"",'05-10 Fri'!E41)</f>
        <v/>
      </c>
      <c r="F250" s="3" t="str">
        <f>IF(ISBLANK('05-10 Fri'!F41),"",'05-10 Fri'!F41)</f>
        <v/>
      </c>
      <c r="G250" s="1" t="str">
        <f>IF(ISBLANK('05-10 Fri'!G41),"",'05-10 Fri'!G41)</f>
        <v/>
      </c>
    </row>
    <row r="251" spans="1:7" x14ac:dyDescent="0.25">
      <c r="A251" s="1" t="str">
        <f>IF(ISBLANK('05-10 Fri'!A42),"",'05-10 Fri'!A42)</f>
        <v/>
      </c>
      <c r="B251" s="1" t="str">
        <f>IF(ISBLANK('05-10 Fri'!B42),"",'05-10 Fri'!B42)</f>
        <v/>
      </c>
      <c r="C251" s="1" t="str">
        <f>IF(ISBLANK('05-10 Fri'!C42),"",'05-10 Fri'!C42)</f>
        <v/>
      </c>
      <c r="D251" s="5" t="str">
        <f>IF(ISBLANK('05-10 Fri'!D42),"",'05-10 Fri'!D42)</f>
        <v/>
      </c>
      <c r="E251" s="5" t="str">
        <f>IF(ISBLANK('05-10 Fri'!E42),"",'05-10 Fri'!E42)</f>
        <v/>
      </c>
      <c r="F251" s="3" t="str">
        <f>IF(ISBLANK('05-10 Fri'!F42),"",'05-10 Fri'!F42)</f>
        <v/>
      </c>
      <c r="G251" s="1" t="str">
        <f>IF(ISBLANK('05-10 Fri'!G42),"",'05-10 Fri'!G42)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S21"/>
  <sheetViews>
    <sheetView topLeftCell="A7" workbookViewId="0">
      <selection activeCell="A7" sqref="A7"/>
    </sheetView>
  </sheetViews>
  <sheetFormatPr defaultRowHeight="15" x14ac:dyDescent="0.25"/>
  <sheetData>
    <row r="1" spans="1:19" x14ac:dyDescent="0.25">
      <c r="A1" s="4" t="s">
        <v>15</v>
      </c>
    </row>
    <row r="2" spans="1:19" x14ac:dyDescent="0.25">
      <c r="A2" t="s">
        <v>16</v>
      </c>
      <c r="M2" t="s">
        <v>23</v>
      </c>
      <c r="N2" t="s">
        <v>24</v>
      </c>
    </row>
    <row r="3" spans="1:19" x14ac:dyDescent="0.25">
      <c r="A3" t="s">
        <v>19</v>
      </c>
      <c r="M3" t="s">
        <v>22</v>
      </c>
    </row>
    <row r="4" spans="1:19" x14ac:dyDescent="0.25">
      <c r="A4" t="s">
        <v>17</v>
      </c>
      <c r="M4" t="s">
        <v>25</v>
      </c>
    </row>
    <row r="5" spans="1:19" x14ac:dyDescent="0.25">
      <c r="A5" t="s">
        <v>18</v>
      </c>
      <c r="M5" t="s">
        <v>26</v>
      </c>
      <c r="N5" s="1" t="s">
        <v>22</v>
      </c>
    </row>
    <row r="6" spans="1:19" x14ac:dyDescent="0.25">
      <c r="A6" t="s">
        <v>20</v>
      </c>
    </row>
    <row r="7" spans="1:19" x14ac:dyDescent="0.25">
      <c r="A7" t="s">
        <v>21</v>
      </c>
    </row>
    <row r="9" spans="1:19" x14ac:dyDescent="0.25">
      <c r="A9" t="s">
        <v>46</v>
      </c>
    </row>
    <row r="11" spans="1:19" x14ac:dyDescent="0.25">
      <c r="L11" t="s">
        <v>42</v>
      </c>
    </row>
    <row r="14" spans="1:19" x14ac:dyDescent="0.25">
      <c r="L14" t="s">
        <v>42</v>
      </c>
    </row>
    <row r="15" spans="1:19" x14ac:dyDescent="0.25">
      <c r="K15" t="s">
        <v>42</v>
      </c>
      <c r="L15" t="s">
        <v>27</v>
      </c>
      <c r="S15" t="s">
        <v>42</v>
      </c>
    </row>
    <row r="17" spans="1:10" x14ac:dyDescent="0.25">
      <c r="A17" t="s">
        <v>30</v>
      </c>
      <c r="D17" t="s">
        <v>31</v>
      </c>
      <c r="H17" t="s">
        <v>34</v>
      </c>
      <c r="J17" t="s">
        <v>37</v>
      </c>
    </row>
    <row r="18" spans="1:10" x14ac:dyDescent="0.25">
      <c r="A18" t="s">
        <v>36</v>
      </c>
      <c r="D18" t="s">
        <v>32</v>
      </c>
      <c r="H18" t="s">
        <v>35</v>
      </c>
      <c r="J18" t="s">
        <v>41</v>
      </c>
    </row>
    <row r="19" spans="1:10" x14ac:dyDescent="0.25">
      <c r="A19" t="s">
        <v>38</v>
      </c>
      <c r="D19" t="s">
        <v>33</v>
      </c>
    </row>
    <row r="20" spans="1:10" x14ac:dyDescent="0.25">
      <c r="A20" t="s">
        <v>40</v>
      </c>
    </row>
    <row r="21" spans="1:10" x14ac:dyDescent="0.25">
      <c r="A21" s="1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Tracks</vt:lpstr>
      <vt:lpstr>05-06 Mon</vt:lpstr>
      <vt:lpstr>05-07 Tues</vt:lpstr>
      <vt:lpstr>05-08 Wed</vt:lpstr>
      <vt:lpstr>05-09 Thurs</vt:lpstr>
      <vt:lpstr>05-10 Fri</vt:lpstr>
      <vt:lpstr>Weekly Summary</vt:lpstr>
      <vt:lpstr>To Do</vt:lpstr>
    </vt:vector>
  </TitlesOfParts>
  <Company>iSIGMA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TimeTemplate</dc:title>
  <dc:creator>Alan Mathew Polson</dc:creator>
  <cp:keywords>Time</cp:keywords>
  <cp:lastModifiedBy>Alan Polson</cp:lastModifiedBy>
  <dcterms:created xsi:type="dcterms:W3CDTF">2013-11-20T19:05:43Z</dcterms:created>
  <dcterms:modified xsi:type="dcterms:W3CDTF">2019-11-25T22:01:35Z</dcterms:modified>
</cp:coreProperties>
</file>